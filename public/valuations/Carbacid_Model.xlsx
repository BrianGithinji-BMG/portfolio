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showInkAnnotation="0" autoCompressPictures="0"/>
  <xr:revisionPtr revIDLastSave="0" documentId="8_{33BCF090-0A13-4775-8236-E71F997C9857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Historical Financials" sheetId="1" r:id="rId1"/>
    <sheet name="Carbacid Model" sheetId="3" r:id="rId2"/>
    <sheet name="Assumptions_Log" sheetId="5" r:id="rId3"/>
    <sheet name="Segment_Financials" sheetId="6" r:id="rId4"/>
    <sheet name="Valuation_Summary" sheetId="7" r:id="rId5"/>
    <sheet name="Sensitivity" sheetId="8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6" l="1"/>
  <c r="N48" i="6"/>
  <c r="M48" i="6"/>
  <c r="L48" i="6"/>
  <c r="K48" i="6"/>
  <c r="J28" i="6"/>
  <c r="I28" i="6"/>
  <c r="H28" i="6"/>
  <c r="G28" i="6"/>
  <c r="F28" i="6"/>
  <c r="E28" i="6"/>
  <c r="D28" i="6"/>
  <c r="J27" i="6"/>
  <c r="I27" i="6"/>
  <c r="H27" i="6"/>
  <c r="G27" i="6"/>
  <c r="F27" i="6"/>
  <c r="E27" i="6"/>
  <c r="D27" i="6"/>
  <c r="J11" i="6"/>
  <c r="I11" i="6"/>
  <c r="H11" i="6"/>
  <c r="G11" i="6"/>
  <c r="F11" i="6"/>
  <c r="E11" i="6"/>
  <c r="D11" i="6"/>
  <c r="J10" i="6"/>
  <c r="I10" i="6"/>
  <c r="H10" i="6"/>
  <c r="G10" i="6"/>
  <c r="F10" i="6"/>
  <c r="E10" i="6"/>
  <c r="D10" i="6"/>
  <c r="J9" i="6"/>
  <c r="I9" i="6"/>
  <c r="H9" i="6"/>
  <c r="G9" i="6"/>
  <c r="F9" i="6"/>
  <c r="E9" i="6"/>
  <c r="D9" i="6"/>
  <c r="D10" i="5"/>
  <c r="D14" i="5" s="1"/>
  <c r="C201" i="3"/>
  <c r="C9" i="7" s="1"/>
  <c r="C199" i="3"/>
  <c r="C6" i="7" s="1"/>
  <c r="C198" i="3"/>
  <c r="C5" i="7" s="1"/>
  <c r="C197" i="3"/>
  <c r="C4" i="7" s="1"/>
  <c r="O157" i="3"/>
  <c r="N157" i="3"/>
  <c r="M157" i="3"/>
  <c r="L157" i="3"/>
  <c r="K157" i="3"/>
  <c r="D155" i="3"/>
  <c r="J148" i="3"/>
  <c r="I148" i="3"/>
  <c r="H148" i="3"/>
  <c r="G148" i="3"/>
  <c r="F148" i="3"/>
  <c r="E148" i="3"/>
  <c r="D148" i="3"/>
  <c r="J147" i="3"/>
  <c r="I147" i="3"/>
  <c r="H147" i="3"/>
  <c r="G147" i="3"/>
  <c r="F147" i="3"/>
  <c r="E147" i="3"/>
  <c r="D147" i="3"/>
  <c r="J146" i="3"/>
  <c r="I146" i="3"/>
  <c r="H146" i="3"/>
  <c r="G146" i="3"/>
  <c r="F146" i="3"/>
  <c r="E146" i="3"/>
  <c r="D146" i="3"/>
  <c r="D144" i="3"/>
  <c r="J123" i="3"/>
  <c r="I123" i="3"/>
  <c r="H123" i="3"/>
  <c r="G123" i="3"/>
  <c r="F123" i="3"/>
  <c r="E123" i="3"/>
  <c r="D123" i="3"/>
  <c r="J113" i="3"/>
  <c r="I113" i="3"/>
  <c r="H113" i="3"/>
  <c r="G113" i="3"/>
  <c r="F113" i="3"/>
  <c r="E113" i="3"/>
  <c r="D113" i="3"/>
  <c r="J112" i="3"/>
  <c r="K112" i="3" s="1"/>
  <c r="L112" i="3" s="1"/>
  <c r="M112" i="3" s="1"/>
  <c r="N112" i="3" s="1"/>
  <c r="O112" i="3" s="1"/>
  <c r="I112" i="3"/>
  <c r="H112" i="3"/>
  <c r="G112" i="3"/>
  <c r="F112" i="3"/>
  <c r="E112" i="3"/>
  <c r="D112" i="3"/>
  <c r="J111" i="3"/>
  <c r="K111" i="3" s="1"/>
  <c r="L111" i="3" s="1"/>
  <c r="M111" i="3" s="1"/>
  <c r="N111" i="3" s="1"/>
  <c r="O111" i="3" s="1"/>
  <c r="I111" i="3"/>
  <c r="H111" i="3"/>
  <c r="G111" i="3"/>
  <c r="F111" i="3"/>
  <c r="E111" i="3"/>
  <c r="D111" i="3"/>
  <c r="J110" i="3"/>
  <c r="I110" i="3"/>
  <c r="I114" i="3" s="1"/>
  <c r="H110" i="3"/>
  <c r="H114" i="3" s="1"/>
  <c r="G110" i="3"/>
  <c r="G114" i="3" s="1"/>
  <c r="F110" i="3"/>
  <c r="F114" i="3" s="1"/>
  <c r="E110" i="3"/>
  <c r="E114" i="3" s="1"/>
  <c r="D110" i="3"/>
  <c r="D114" i="3" s="1"/>
  <c r="O107" i="3"/>
  <c r="N107" i="3"/>
  <c r="M107" i="3"/>
  <c r="L107" i="3"/>
  <c r="K107" i="3"/>
  <c r="J106" i="3"/>
  <c r="K106" i="3" s="1"/>
  <c r="L106" i="3" s="1"/>
  <c r="M106" i="3" s="1"/>
  <c r="N106" i="3" s="1"/>
  <c r="O106" i="3" s="1"/>
  <c r="I106" i="3"/>
  <c r="H106" i="3"/>
  <c r="G106" i="3"/>
  <c r="F106" i="3"/>
  <c r="E106" i="3"/>
  <c r="D106" i="3"/>
  <c r="J105" i="3"/>
  <c r="I105" i="3"/>
  <c r="H105" i="3"/>
  <c r="G105" i="3"/>
  <c r="F105" i="3"/>
  <c r="E105" i="3"/>
  <c r="D105" i="3"/>
  <c r="J102" i="3"/>
  <c r="I102" i="3"/>
  <c r="H102" i="3"/>
  <c r="G102" i="3"/>
  <c r="F102" i="3"/>
  <c r="E102" i="3"/>
  <c r="D102" i="3"/>
  <c r="J101" i="3"/>
  <c r="I101" i="3"/>
  <c r="H101" i="3"/>
  <c r="G101" i="3"/>
  <c r="F101" i="3"/>
  <c r="E101" i="3"/>
  <c r="D101" i="3"/>
  <c r="J100" i="3"/>
  <c r="I100" i="3"/>
  <c r="H100" i="3"/>
  <c r="G100" i="3"/>
  <c r="F100" i="3"/>
  <c r="E100" i="3"/>
  <c r="D100" i="3"/>
  <c r="J99" i="3"/>
  <c r="I99" i="3"/>
  <c r="H99" i="3"/>
  <c r="G99" i="3"/>
  <c r="F99" i="3"/>
  <c r="E99" i="3"/>
  <c r="D99" i="3"/>
  <c r="J96" i="3"/>
  <c r="I96" i="3"/>
  <c r="H96" i="3"/>
  <c r="G96" i="3"/>
  <c r="F96" i="3"/>
  <c r="E96" i="3"/>
  <c r="D96" i="3"/>
  <c r="J95" i="3"/>
  <c r="K95" i="3" s="1"/>
  <c r="L95" i="3" s="1"/>
  <c r="M95" i="3" s="1"/>
  <c r="N95" i="3" s="1"/>
  <c r="O95" i="3" s="1"/>
  <c r="I95" i="3"/>
  <c r="H95" i="3"/>
  <c r="G95" i="3"/>
  <c r="F95" i="3"/>
  <c r="E95" i="3"/>
  <c r="D95" i="3"/>
  <c r="J94" i="3"/>
  <c r="K94" i="3" s="1"/>
  <c r="L94" i="3" s="1"/>
  <c r="M94" i="3" s="1"/>
  <c r="N94" i="3" s="1"/>
  <c r="O94" i="3" s="1"/>
  <c r="I94" i="3"/>
  <c r="H94" i="3"/>
  <c r="G94" i="3"/>
  <c r="F94" i="3"/>
  <c r="E94" i="3"/>
  <c r="D94" i="3"/>
  <c r="J93" i="3"/>
  <c r="I93" i="3"/>
  <c r="I97" i="3" s="1"/>
  <c r="H93" i="3"/>
  <c r="H97" i="3" s="1"/>
  <c r="G93" i="3"/>
  <c r="G97" i="3" s="1"/>
  <c r="F93" i="3"/>
  <c r="F97" i="3" s="1"/>
  <c r="E93" i="3"/>
  <c r="E97" i="3" s="1"/>
  <c r="D93" i="3"/>
  <c r="D97" i="3" s="1"/>
  <c r="J91" i="3"/>
  <c r="I91" i="3"/>
  <c r="H91" i="3"/>
  <c r="G91" i="3"/>
  <c r="F91" i="3"/>
  <c r="E91" i="3"/>
  <c r="D91" i="3"/>
  <c r="J90" i="3"/>
  <c r="I90" i="3"/>
  <c r="H90" i="3"/>
  <c r="G90" i="3"/>
  <c r="F90" i="3"/>
  <c r="E90" i="3"/>
  <c r="D90" i="3"/>
  <c r="J89" i="3"/>
  <c r="J126" i="3" s="1"/>
  <c r="I89" i="3"/>
  <c r="I126" i="3" s="1"/>
  <c r="H89" i="3"/>
  <c r="H126" i="3" s="1"/>
  <c r="G89" i="3"/>
  <c r="G126" i="3" s="1"/>
  <c r="F89" i="3"/>
  <c r="F126" i="3" s="1"/>
  <c r="E89" i="3"/>
  <c r="E126" i="3" s="1"/>
  <c r="D89" i="3"/>
  <c r="D126" i="3" s="1"/>
  <c r="D132" i="3" s="1"/>
  <c r="J88" i="3"/>
  <c r="I88" i="3"/>
  <c r="H88" i="3"/>
  <c r="G88" i="3"/>
  <c r="F88" i="3"/>
  <c r="E88" i="3"/>
  <c r="D88" i="3"/>
  <c r="J70" i="3"/>
  <c r="I70" i="3"/>
  <c r="H70" i="3"/>
  <c r="G70" i="3"/>
  <c r="F70" i="3"/>
  <c r="E70" i="3"/>
  <c r="D70" i="3"/>
  <c r="J68" i="3"/>
  <c r="I68" i="3"/>
  <c r="H68" i="3"/>
  <c r="G68" i="3"/>
  <c r="F68" i="3"/>
  <c r="E68" i="3"/>
  <c r="D68" i="3"/>
  <c r="J65" i="3"/>
  <c r="I65" i="3"/>
  <c r="H65" i="3"/>
  <c r="G65" i="3"/>
  <c r="F65" i="3"/>
  <c r="E65" i="3"/>
  <c r="D65" i="3"/>
  <c r="J63" i="3"/>
  <c r="I63" i="3"/>
  <c r="H63" i="3"/>
  <c r="G63" i="3"/>
  <c r="F63" i="3"/>
  <c r="E63" i="3"/>
  <c r="D63" i="3"/>
  <c r="O61" i="3"/>
  <c r="O143" i="3" s="1"/>
  <c r="N61" i="3"/>
  <c r="N143" i="3" s="1"/>
  <c r="M61" i="3"/>
  <c r="M143" i="3" s="1"/>
  <c r="L61" i="3"/>
  <c r="L143" i="3" s="1"/>
  <c r="K61" i="3"/>
  <c r="K143" i="3" s="1"/>
  <c r="J61" i="3"/>
  <c r="J143" i="3" s="1"/>
  <c r="I61" i="3"/>
  <c r="I143" i="3" s="1"/>
  <c r="H61" i="3"/>
  <c r="H143" i="3" s="1"/>
  <c r="G61" i="3"/>
  <c r="G143" i="3" s="1"/>
  <c r="F61" i="3"/>
  <c r="F143" i="3" s="1"/>
  <c r="E61" i="3"/>
  <c r="E143" i="3" s="1"/>
  <c r="D61" i="3"/>
  <c r="D143" i="3" s="1"/>
  <c r="J60" i="3"/>
  <c r="I60" i="3"/>
  <c r="H60" i="3"/>
  <c r="G60" i="3"/>
  <c r="F60" i="3"/>
  <c r="E60" i="3"/>
  <c r="D60" i="3"/>
  <c r="J57" i="3"/>
  <c r="I57" i="3"/>
  <c r="H57" i="3"/>
  <c r="G57" i="3"/>
  <c r="F57" i="3"/>
  <c r="E57" i="3"/>
  <c r="D57" i="3"/>
  <c r="J54" i="3"/>
  <c r="I54" i="3"/>
  <c r="H54" i="3"/>
  <c r="G54" i="3"/>
  <c r="F54" i="3"/>
  <c r="E54" i="3"/>
  <c r="D54" i="3"/>
  <c r="J51" i="3"/>
  <c r="I51" i="3"/>
  <c r="H51" i="3"/>
  <c r="G51" i="3"/>
  <c r="F51" i="3"/>
  <c r="E51" i="3"/>
  <c r="D51" i="3"/>
  <c r="J50" i="3"/>
  <c r="I50" i="3"/>
  <c r="H50" i="3"/>
  <c r="G50" i="3"/>
  <c r="F50" i="3"/>
  <c r="E50" i="3"/>
  <c r="D50" i="3"/>
  <c r="J40" i="3"/>
  <c r="I40" i="3"/>
  <c r="H40" i="3"/>
  <c r="G40" i="3"/>
  <c r="F40" i="3"/>
  <c r="E40" i="3"/>
  <c r="D40" i="3"/>
  <c r="J39" i="3"/>
  <c r="I39" i="3"/>
  <c r="H39" i="3"/>
  <c r="G39" i="3"/>
  <c r="F39" i="3"/>
  <c r="E39" i="3"/>
  <c r="D39" i="3"/>
  <c r="J38" i="3"/>
  <c r="I38" i="3"/>
  <c r="H38" i="3"/>
  <c r="G38" i="3"/>
  <c r="F38" i="3"/>
  <c r="E38" i="3"/>
  <c r="D38" i="3"/>
  <c r="D41" i="3" s="1"/>
  <c r="O33" i="3"/>
  <c r="N33" i="3"/>
  <c r="M33" i="3"/>
  <c r="L33" i="3"/>
  <c r="K33" i="3"/>
  <c r="O32" i="3"/>
  <c r="N32" i="3"/>
  <c r="M32" i="3"/>
  <c r="L32" i="3"/>
  <c r="K32" i="3"/>
  <c r="K60" i="3" s="1"/>
  <c r="O31" i="3"/>
  <c r="N31" i="3"/>
  <c r="M31" i="3"/>
  <c r="L31" i="3"/>
  <c r="K31" i="3"/>
  <c r="O30" i="3"/>
  <c r="O130" i="3" s="1"/>
  <c r="N30" i="3"/>
  <c r="N130" i="3" s="1"/>
  <c r="M30" i="3"/>
  <c r="M130" i="3" s="1"/>
  <c r="L30" i="3"/>
  <c r="L130" i="3" s="1"/>
  <c r="K30" i="3"/>
  <c r="K130" i="3" s="1"/>
  <c r="J30" i="3"/>
  <c r="J130" i="3" s="1"/>
  <c r="I30" i="3"/>
  <c r="I130" i="3" s="1"/>
  <c r="H30" i="3"/>
  <c r="H130" i="3" s="1"/>
  <c r="G30" i="3"/>
  <c r="G130" i="3" s="1"/>
  <c r="F30" i="3"/>
  <c r="F130" i="3" s="1"/>
  <c r="E30" i="3"/>
  <c r="E130" i="3" s="1"/>
  <c r="D30" i="3"/>
  <c r="D130" i="3" s="1"/>
  <c r="O29" i="3"/>
  <c r="O129" i="3" s="1"/>
  <c r="N29" i="3"/>
  <c r="N129" i="3" s="1"/>
  <c r="M29" i="3"/>
  <c r="M129" i="3" s="1"/>
  <c r="L29" i="3"/>
  <c r="L129" i="3" s="1"/>
  <c r="K29" i="3"/>
  <c r="K129" i="3" s="1"/>
  <c r="J29" i="3"/>
  <c r="J129" i="3" s="1"/>
  <c r="I29" i="3"/>
  <c r="I129" i="3" s="1"/>
  <c r="H29" i="3"/>
  <c r="H129" i="3" s="1"/>
  <c r="G29" i="3"/>
  <c r="G129" i="3" s="1"/>
  <c r="F29" i="3"/>
  <c r="F129" i="3" s="1"/>
  <c r="E29" i="3"/>
  <c r="E129" i="3" s="1"/>
  <c r="D29" i="3"/>
  <c r="D129" i="3" s="1"/>
  <c r="O28" i="3"/>
  <c r="O128" i="3" s="1"/>
  <c r="N28" i="3"/>
  <c r="N128" i="3" s="1"/>
  <c r="M28" i="3"/>
  <c r="M128" i="3" s="1"/>
  <c r="L28" i="3"/>
  <c r="L128" i="3" s="1"/>
  <c r="K28" i="3"/>
  <c r="K128" i="3" s="1"/>
  <c r="J28" i="3"/>
  <c r="J128" i="3" s="1"/>
  <c r="I28" i="3"/>
  <c r="I128" i="3" s="1"/>
  <c r="H28" i="3"/>
  <c r="H128" i="3" s="1"/>
  <c r="G28" i="3"/>
  <c r="G128" i="3" s="1"/>
  <c r="F28" i="3"/>
  <c r="F128" i="3" s="1"/>
  <c r="E28" i="3"/>
  <c r="E128" i="3" s="1"/>
  <c r="D28" i="3"/>
  <c r="D128" i="3" s="1"/>
  <c r="O27" i="3"/>
  <c r="N27" i="3"/>
  <c r="M27" i="3"/>
  <c r="L27" i="3"/>
  <c r="K27" i="3"/>
  <c r="J27" i="3"/>
  <c r="I27" i="3"/>
  <c r="H27" i="3"/>
  <c r="G27" i="3"/>
  <c r="F27" i="3"/>
  <c r="E27" i="3"/>
  <c r="D27" i="3"/>
  <c r="O26" i="3"/>
  <c r="N26" i="3"/>
  <c r="M26" i="3"/>
  <c r="L26" i="3"/>
  <c r="K26" i="3"/>
  <c r="K57" i="3" s="1"/>
  <c r="J26" i="3"/>
  <c r="I26" i="3"/>
  <c r="H26" i="3"/>
  <c r="G26" i="3"/>
  <c r="F26" i="3"/>
  <c r="E26" i="3"/>
  <c r="D26" i="3"/>
  <c r="O25" i="3"/>
  <c r="N25" i="3"/>
  <c r="M25" i="3"/>
  <c r="L25" i="3"/>
  <c r="K25" i="3"/>
  <c r="J25" i="3"/>
  <c r="I25" i="3"/>
  <c r="H25" i="3"/>
  <c r="G25" i="3"/>
  <c r="F25" i="3"/>
  <c r="E25" i="3"/>
  <c r="D25" i="3"/>
  <c r="O24" i="3"/>
  <c r="N24" i="3"/>
  <c r="M24" i="3"/>
  <c r="L24" i="3"/>
  <c r="K24" i="3"/>
  <c r="O23" i="3"/>
  <c r="N23" i="3"/>
  <c r="M23" i="3"/>
  <c r="L23" i="3"/>
  <c r="K23" i="3"/>
  <c r="J23" i="3"/>
  <c r="I23" i="3"/>
  <c r="H23" i="3"/>
  <c r="G23" i="3"/>
  <c r="F23" i="3"/>
  <c r="E23" i="3"/>
  <c r="D23" i="3"/>
  <c r="O22" i="3"/>
  <c r="N22" i="3"/>
  <c r="M22" i="3"/>
  <c r="L22" i="3"/>
  <c r="K22" i="3"/>
  <c r="O21" i="3"/>
  <c r="N21" i="3"/>
  <c r="M21" i="3"/>
  <c r="L21" i="3"/>
  <c r="K21" i="3"/>
  <c r="O20" i="3"/>
  <c r="N20" i="3"/>
  <c r="M20" i="3"/>
  <c r="L20" i="3"/>
  <c r="K20" i="3"/>
  <c r="O19" i="3"/>
  <c r="N19" i="3"/>
  <c r="M19" i="3"/>
  <c r="L19" i="3"/>
  <c r="K19" i="3"/>
  <c r="C12" i="3"/>
  <c r="C7" i="3"/>
  <c r="J78" i="1"/>
  <c r="I78" i="1"/>
  <c r="H78" i="1"/>
  <c r="G78" i="1"/>
  <c r="F78" i="1"/>
  <c r="E78" i="1"/>
  <c r="D78" i="1"/>
  <c r="J75" i="1"/>
  <c r="H75" i="1"/>
  <c r="G75" i="1"/>
  <c r="E75" i="1"/>
  <c r="D75" i="1"/>
  <c r="F73" i="1"/>
  <c r="F75" i="1" s="1"/>
  <c r="I71" i="1"/>
  <c r="I75" i="1" s="1"/>
  <c r="J68" i="1"/>
  <c r="I68" i="1"/>
  <c r="H68" i="1"/>
  <c r="G68" i="1"/>
  <c r="F68" i="1"/>
  <c r="E68" i="1"/>
  <c r="D68" i="1"/>
  <c r="J63" i="1"/>
  <c r="J142" i="3" s="1"/>
  <c r="I63" i="1"/>
  <c r="I142" i="3" s="1"/>
  <c r="H63" i="1"/>
  <c r="H142" i="3" s="1"/>
  <c r="G63" i="1"/>
  <c r="G142" i="3" s="1"/>
  <c r="F63" i="1"/>
  <c r="F142" i="3" s="1"/>
  <c r="E63" i="1"/>
  <c r="E142" i="3" s="1"/>
  <c r="D63" i="1"/>
  <c r="D142" i="3" s="1"/>
  <c r="J58" i="1"/>
  <c r="I58" i="1"/>
  <c r="H58" i="1"/>
  <c r="G58" i="1"/>
  <c r="F58" i="1"/>
  <c r="E58" i="1"/>
  <c r="D58" i="1"/>
  <c r="J52" i="1"/>
  <c r="I52" i="1"/>
  <c r="H52" i="1"/>
  <c r="G52" i="1"/>
  <c r="F52" i="1"/>
  <c r="E52" i="1"/>
  <c r="D52" i="1"/>
  <c r="J49" i="1"/>
  <c r="I49" i="1"/>
  <c r="H49" i="1"/>
  <c r="G49" i="1"/>
  <c r="F49" i="1"/>
  <c r="E49" i="1"/>
  <c r="D49" i="1"/>
  <c r="J43" i="1"/>
  <c r="I43" i="1"/>
  <c r="H43" i="1"/>
  <c r="G43" i="1"/>
  <c r="F43" i="1"/>
  <c r="E43" i="1"/>
  <c r="D43" i="1"/>
  <c r="J13" i="1"/>
  <c r="I13" i="1"/>
  <c r="H13" i="1"/>
  <c r="G13" i="1"/>
  <c r="F13" i="1"/>
  <c r="E13" i="1"/>
  <c r="D13" i="1"/>
  <c r="D9" i="1"/>
  <c r="E8" i="1"/>
  <c r="E43" i="3" l="1"/>
  <c r="K38" i="3"/>
  <c r="K43" i="3" s="1"/>
  <c r="E9" i="1"/>
  <c r="F8" i="1"/>
  <c r="D52" i="3"/>
  <c r="D19" i="1"/>
  <c r="E52" i="3"/>
  <c r="E19" i="1"/>
  <c r="F52" i="3"/>
  <c r="F19" i="1"/>
  <c r="G52" i="3"/>
  <c r="G19" i="1"/>
  <c r="H52" i="3"/>
  <c r="H19" i="1"/>
  <c r="I52" i="3"/>
  <c r="I19" i="1"/>
  <c r="J52" i="3"/>
  <c r="J19" i="1"/>
  <c r="D103" i="3"/>
  <c r="D53" i="1"/>
  <c r="E103" i="3"/>
  <c r="E53" i="1"/>
  <c r="F103" i="3"/>
  <c r="F53" i="1"/>
  <c r="G103" i="3"/>
  <c r="G53" i="1"/>
  <c r="H103" i="3"/>
  <c r="H53" i="1"/>
  <c r="I103" i="3"/>
  <c r="I53" i="1"/>
  <c r="J103" i="3"/>
  <c r="J53" i="1"/>
  <c r="D107" i="3"/>
  <c r="E107" i="3"/>
  <c r="F107" i="3"/>
  <c r="G107" i="3"/>
  <c r="H107" i="3"/>
  <c r="I107" i="3"/>
  <c r="J107" i="3"/>
  <c r="D59" i="1"/>
  <c r="E59" i="1"/>
  <c r="F59" i="1"/>
  <c r="G59" i="1"/>
  <c r="H59" i="1"/>
  <c r="I59" i="1"/>
  <c r="J59" i="1"/>
  <c r="D145" i="3"/>
  <c r="D80" i="1"/>
  <c r="E145" i="3"/>
  <c r="E80" i="1"/>
  <c r="F145" i="3"/>
  <c r="F80" i="1"/>
  <c r="G145" i="3"/>
  <c r="G80" i="1"/>
  <c r="H145" i="3"/>
  <c r="H80" i="1"/>
  <c r="I145" i="3"/>
  <c r="I80" i="1"/>
  <c r="J145" i="3"/>
  <c r="J80" i="1"/>
  <c r="I177" i="3"/>
  <c r="H177" i="3"/>
  <c r="G177" i="3"/>
  <c r="F177" i="3"/>
  <c r="E177" i="3"/>
  <c r="D177" i="3"/>
  <c r="C11" i="3"/>
  <c r="K42" i="6"/>
  <c r="K44" i="6" s="1"/>
  <c r="K153" i="3"/>
  <c r="K142" i="3"/>
  <c r="K125" i="3"/>
  <c r="K21" i="6"/>
  <c r="K22" i="6" s="1"/>
  <c r="E41" i="3"/>
  <c r="E42" i="3" s="1"/>
  <c r="F43" i="3"/>
  <c r="F41" i="3"/>
  <c r="F42" i="3" s="1"/>
  <c r="G43" i="3"/>
  <c r="G41" i="3"/>
  <c r="G42" i="3" s="1"/>
  <c r="H43" i="3"/>
  <c r="H41" i="3"/>
  <c r="H42" i="3" s="1"/>
  <c r="I43" i="3"/>
  <c r="I41" i="3"/>
  <c r="I42" i="3" s="1"/>
  <c r="J43" i="3"/>
  <c r="J41" i="3"/>
  <c r="J42" i="3" s="1"/>
  <c r="E44" i="3"/>
  <c r="F44" i="3"/>
  <c r="G44" i="3"/>
  <c r="H44" i="3"/>
  <c r="I44" i="3"/>
  <c r="J44" i="3"/>
  <c r="K39" i="3"/>
  <c r="K40" i="3"/>
  <c r="D153" i="3"/>
  <c r="D125" i="3"/>
  <c r="E153" i="3"/>
  <c r="E125" i="3"/>
  <c r="F153" i="3"/>
  <c r="F125" i="3"/>
  <c r="G153" i="3"/>
  <c r="G125" i="3"/>
  <c r="H153" i="3"/>
  <c r="H125" i="3"/>
  <c r="I153" i="3"/>
  <c r="I125" i="3"/>
  <c r="J153" i="3"/>
  <c r="J125" i="3"/>
  <c r="C191" i="3"/>
  <c r="K68" i="3"/>
  <c r="L68" i="3" s="1"/>
  <c r="M68" i="3" s="1"/>
  <c r="N68" i="3" s="1"/>
  <c r="O68" i="3" s="1"/>
  <c r="D71" i="3"/>
  <c r="E71" i="3"/>
  <c r="F71" i="3"/>
  <c r="G71" i="3"/>
  <c r="H71" i="3"/>
  <c r="I71" i="3"/>
  <c r="J71" i="3"/>
  <c r="E132" i="3"/>
  <c r="E127" i="3"/>
  <c r="F132" i="3"/>
  <c r="F127" i="3"/>
  <c r="G132" i="3"/>
  <c r="G127" i="3"/>
  <c r="H132" i="3"/>
  <c r="H127" i="3"/>
  <c r="I132" i="3"/>
  <c r="I127" i="3"/>
  <c r="J132" i="3"/>
  <c r="J127" i="3"/>
  <c r="J97" i="3"/>
  <c r="K96" i="3"/>
  <c r="D104" i="3"/>
  <c r="E104" i="3"/>
  <c r="F104" i="3"/>
  <c r="G104" i="3"/>
  <c r="H104" i="3"/>
  <c r="I104" i="3"/>
  <c r="J104" i="3"/>
  <c r="D173" i="3"/>
  <c r="E173" i="3"/>
  <c r="F173" i="3"/>
  <c r="G173" i="3"/>
  <c r="H173" i="3"/>
  <c r="I173" i="3"/>
  <c r="C189" i="3"/>
  <c r="K102" i="3"/>
  <c r="D108" i="3"/>
  <c r="E108" i="3"/>
  <c r="F108" i="3"/>
  <c r="G108" i="3"/>
  <c r="H108" i="3"/>
  <c r="I108" i="3"/>
  <c r="J108" i="3"/>
  <c r="K105" i="3"/>
  <c r="J114" i="3"/>
  <c r="K110" i="3"/>
  <c r="D154" i="3"/>
  <c r="D124" i="3"/>
  <c r="E154" i="3"/>
  <c r="E124" i="3"/>
  <c r="F154" i="3"/>
  <c r="F124" i="3"/>
  <c r="G154" i="3"/>
  <c r="G124" i="3"/>
  <c r="H154" i="3"/>
  <c r="H124" i="3"/>
  <c r="I154" i="3"/>
  <c r="I124" i="3"/>
  <c r="J154" i="3"/>
  <c r="J124" i="3"/>
  <c r="D16" i="6"/>
  <c r="D13" i="6"/>
  <c r="D12" i="6"/>
  <c r="E16" i="6"/>
  <c r="E13" i="6"/>
  <c r="E12" i="6"/>
  <c r="F16" i="6"/>
  <c r="F13" i="6"/>
  <c r="F12" i="6"/>
  <c r="G16" i="6"/>
  <c r="G13" i="6"/>
  <c r="G12" i="6"/>
  <c r="H16" i="6"/>
  <c r="H13" i="6"/>
  <c r="H12" i="6"/>
  <c r="I16" i="6"/>
  <c r="I13" i="6"/>
  <c r="I12" i="6"/>
  <c r="J16" i="6"/>
  <c r="J13" i="6"/>
  <c r="D22" i="5" s="1"/>
  <c r="J12" i="6"/>
  <c r="D21" i="5" s="1"/>
  <c r="D23" i="5" s="1"/>
  <c r="L110" i="3" l="1"/>
  <c r="J177" i="3"/>
  <c r="J173" i="3"/>
  <c r="K108" i="3"/>
  <c r="L105" i="3"/>
  <c r="K147" i="3"/>
  <c r="L102" i="3"/>
  <c r="L63" i="3"/>
  <c r="K63" i="3"/>
  <c r="J109" i="3"/>
  <c r="J115" i="3" s="1"/>
  <c r="I109" i="3"/>
  <c r="I115" i="3" s="1"/>
  <c r="H109" i="3"/>
  <c r="H115" i="3" s="1"/>
  <c r="G109" i="3"/>
  <c r="G115" i="3" s="1"/>
  <c r="F109" i="3"/>
  <c r="F115" i="3" s="1"/>
  <c r="E109" i="3"/>
  <c r="E115" i="3" s="1"/>
  <c r="D109" i="3"/>
  <c r="D115" i="3" s="1"/>
  <c r="L96" i="3"/>
  <c r="L60" i="3"/>
  <c r="J155" i="3"/>
  <c r="J144" i="3"/>
  <c r="I155" i="3"/>
  <c r="I144" i="3"/>
  <c r="H155" i="3"/>
  <c r="H144" i="3"/>
  <c r="G155" i="3"/>
  <c r="G144" i="3"/>
  <c r="F155" i="3"/>
  <c r="F144" i="3"/>
  <c r="E155" i="3"/>
  <c r="E144" i="3"/>
  <c r="K8" i="6"/>
  <c r="L40" i="3"/>
  <c r="K7" i="6"/>
  <c r="K44" i="3"/>
  <c r="L39" i="3"/>
  <c r="K6" i="6"/>
  <c r="K41" i="3"/>
  <c r="K50" i="3" s="1"/>
  <c r="K51" i="3" s="1"/>
  <c r="L38" i="3"/>
  <c r="J149" i="3"/>
  <c r="I149" i="3"/>
  <c r="H149" i="3"/>
  <c r="G149" i="3"/>
  <c r="F149" i="3"/>
  <c r="E149" i="3"/>
  <c r="D149" i="3"/>
  <c r="D82" i="1"/>
  <c r="J23" i="1"/>
  <c r="J55" i="3"/>
  <c r="J53" i="3"/>
  <c r="I23" i="1"/>
  <c r="I55" i="3"/>
  <c r="I53" i="3"/>
  <c r="H23" i="1"/>
  <c r="H55" i="3"/>
  <c r="H53" i="3"/>
  <c r="G23" i="1"/>
  <c r="G55" i="3"/>
  <c r="G53" i="3"/>
  <c r="F23" i="1"/>
  <c r="F55" i="3"/>
  <c r="F53" i="3"/>
  <c r="E23" i="1"/>
  <c r="E55" i="3"/>
  <c r="E53" i="3"/>
  <c r="D23" i="1"/>
  <c r="D55" i="3"/>
  <c r="D53" i="3"/>
  <c r="F9" i="1"/>
  <c r="G8" i="1"/>
  <c r="G9" i="1" l="1"/>
  <c r="H8" i="1"/>
  <c r="D164" i="3"/>
  <c r="D24" i="3"/>
  <c r="D133" i="3"/>
  <c r="D62" i="3"/>
  <c r="D64" i="3" s="1"/>
  <c r="D58" i="3"/>
  <c r="D59" i="3" s="1"/>
  <c r="D165" i="3" s="1"/>
  <c r="D56" i="3"/>
  <c r="D166" i="3" s="1"/>
  <c r="D25" i="1"/>
  <c r="E164" i="3"/>
  <c r="E24" i="3"/>
  <c r="E133" i="3"/>
  <c r="E62" i="3"/>
  <c r="E64" i="3" s="1"/>
  <c r="E58" i="3"/>
  <c r="E59" i="3" s="1"/>
  <c r="E165" i="3" s="1"/>
  <c r="E56" i="3"/>
  <c r="E166" i="3" s="1"/>
  <c r="E25" i="1"/>
  <c r="F164" i="3"/>
  <c r="F24" i="3"/>
  <c r="F133" i="3"/>
  <c r="F62" i="3"/>
  <c r="F64" i="3" s="1"/>
  <c r="F58" i="3"/>
  <c r="F59" i="3" s="1"/>
  <c r="F165" i="3" s="1"/>
  <c r="F56" i="3"/>
  <c r="F166" i="3" s="1"/>
  <c r="F25" i="1"/>
  <c r="G164" i="3"/>
  <c r="G24" i="3"/>
  <c r="G133" i="3"/>
  <c r="G62" i="3"/>
  <c r="G64" i="3" s="1"/>
  <c r="G58" i="3"/>
  <c r="G59" i="3" s="1"/>
  <c r="G165" i="3" s="1"/>
  <c r="G56" i="3"/>
  <c r="G166" i="3" s="1"/>
  <c r="G25" i="1"/>
  <c r="H164" i="3"/>
  <c r="H24" i="3"/>
  <c r="H133" i="3"/>
  <c r="H62" i="3"/>
  <c r="H64" i="3" s="1"/>
  <c r="H58" i="3"/>
  <c r="H59" i="3" s="1"/>
  <c r="H165" i="3" s="1"/>
  <c r="H56" i="3"/>
  <c r="H166" i="3" s="1"/>
  <c r="H25" i="1"/>
  <c r="I164" i="3"/>
  <c r="I24" i="3"/>
  <c r="I133" i="3"/>
  <c r="I62" i="3"/>
  <c r="I64" i="3" s="1"/>
  <c r="I58" i="3"/>
  <c r="I59" i="3" s="1"/>
  <c r="I165" i="3" s="1"/>
  <c r="I56" i="3"/>
  <c r="I166" i="3" s="1"/>
  <c r="I25" i="1"/>
  <c r="J164" i="3"/>
  <c r="J24" i="3"/>
  <c r="J133" i="3"/>
  <c r="J62" i="3"/>
  <c r="J64" i="3" s="1"/>
  <c r="J58" i="3"/>
  <c r="J59" i="3" s="1"/>
  <c r="J165" i="3" s="1"/>
  <c r="J56" i="3"/>
  <c r="J166" i="3" s="1"/>
  <c r="J25" i="1"/>
  <c r="D150" i="3"/>
  <c r="E81" i="1"/>
  <c r="E82" i="1" s="1"/>
  <c r="D31" i="1"/>
  <c r="L6" i="6"/>
  <c r="L43" i="3"/>
  <c r="L41" i="3"/>
  <c r="M38" i="3"/>
  <c r="K19" i="6"/>
  <c r="K9" i="6"/>
  <c r="K42" i="3"/>
  <c r="K12" i="6"/>
  <c r="K10" i="6"/>
  <c r="L7" i="6"/>
  <c r="L44" i="3"/>
  <c r="M39" i="3"/>
  <c r="K13" i="6"/>
  <c r="K11" i="6"/>
  <c r="L8" i="6"/>
  <c r="M40" i="3"/>
  <c r="L21" i="6"/>
  <c r="L22" i="6" s="1"/>
  <c r="M96" i="3"/>
  <c r="M60" i="3"/>
  <c r="L147" i="3"/>
  <c r="M102" i="3"/>
  <c r="L108" i="3"/>
  <c r="M105" i="3"/>
  <c r="M110" i="3"/>
  <c r="N110" i="3" l="1"/>
  <c r="M108" i="3"/>
  <c r="N105" i="3"/>
  <c r="M63" i="3"/>
  <c r="M147" i="3"/>
  <c r="N102" i="3"/>
  <c r="N63" i="3"/>
  <c r="M21" i="6"/>
  <c r="M22" i="6" s="1"/>
  <c r="N96" i="3"/>
  <c r="N60" i="3"/>
  <c r="M8" i="6"/>
  <c r="N40" i="3"/>
  <c r="M7" i="6"/>
  <c r="M44" i="3"/>
  <c r="N39" i="3"/>
  <c r="L11" i="6"/>
  <c r="K123" i="3"/>
  <c r="K103" i="3"/>
  <c r="K91" i="3"/>
  <c r="K89" i="3"/>
  <c r="K54" i="3"/>
  <c r="K15" i="6"/>
  <c r="K14" i="6"/>
  <c r="M6" i="6"/>
  <c r="M43" i="3"/>
  <c r="M41" i="3"/>
  <c r="N38" i="3"/>
  <c r="L19" i="6"/>
  <c r="L9" i="6"/>
  <c r="L50" i="3"/>
  <c r="L42" i="3"/>
  <c r="L12" i="6"/>
  <c r="L10" i="6"/>
  <c r="D87" i="3"/>
  <c r="D37" i="1"/>
  <c r="E150" i="3"/>
  <c r="F81" i="1"/>
  <c r="F82" i="1" s="1"/>
  <c r="E31" i="1"/>
  <c r="D151" i="3"/>
  <c r="J66" i="3"/>
  <c r="J62" i="1"/>
  <c r="J141" i="3" s="1"/>
  <c r="J26" i="1"/>
  <c r="J152" i="3"/>
  <c r="J156" i="3" s="1"/>
  <c r="J134" i="3"/>
  <c r="J170" i="3" s="1"/>
  <c r="I66" i="3"/>
  <c r="I62" i="1"/>
  <c r="I141" i="3" s="1"/>
  <c r="I26" i="1"/>
  <c r="I152" i="3"/>
  <c r="I156" i="3" s="1"/>
  <c r="I134" i="3"/>
  <c r="I170" i="3" s="1"/>
  <c r="H66" i="3"/>
  <c r="H62" i="1"/>
  <c r="H141" i="3" s="1"/>
  <c r="H26" i="1"/>
  <c r="H152" i="3"/>
  <c r="H156" i="3" s="1"/>
  <c r="H134" i="3"/>
  <c r="H170" i="3" s="1"/>
  <c r="G66" i="3"/>
  <c r="G62" i="1"/>
  <c r="G141" i="3" s="1"/>
  <c r="G26" i="1"/>
  <c r="G152" i="3"/>
  <c r="G156" i="3" s="1"/>
  <c r="G134" i="3"/>
  <c r="G170" i="3" s="1"/>
  <c r="F66" i="3"/>
  <c r="F62" i="1"/>
  <c r="F141" i="3" s="1"/>
  <c r="F26" i="1"/>
  <c r="F152" i="3"/>
  <c r="F156" i="3" s="1"/>
  <c r="F134" i="3"/>
  <c r="F170" i="3" s="1"/>
  <c r="E66" i="3"/>
  <c r="E62" i="1"/>
  <c r="E141" i="3" s="1"/>
  <c r="E26" i="1"/>
  <c r="E152" i="3"/>
  <c r="E156" i="3" s="1"/>
  <c r="E134" i="3"/>
  <c r="E170" i="3" s="1"/>
  <c r="D66" i="3"/>
  <c r="D62" i="1"/>
  <c r="D141" i="3" s="1"/>
  <c r="D26" i="1"/>
  <c r="D152" i="3"/>
  <c r="D156" i="3" s="1"/>
  <c r="D134" i="3"/>
  <c r="D170" i="3" s="1"/>
  <c r="H9" i="1"/>
  <c r="I8" i="1"/>
  <c r="I9" i="1" l="1"/>
  <c r="J8" i="1"/>
  <c r="D168" i="3"/>
  <c r="D69" i="3"/>
  <c r="D67" i="3"/>
  <c r="D167" i="3" s="1"/>
  <c r="E168" i="3"/>
  <c r="E69" i="3"/>
  <c r="E67" i="3"/>
  <c r="E167" i="3" s="1"/>
  <c r="F168" i="3"/>
  <c r="F69" i="3"/>
  <c r="F67" i="3"/>
  <c r="F167" i="3" s="1"/>
  <c r="G168" i="3"/>
  <c r="G69" i="3"/>
  <c r="G67" i="3"/>
  <c r="G167" i="3" s="1"/>
  <c r="H168" i="3"/>
  <c r="H69" i="3"/>
  <c r="H67" i="3"/>
  <c r="H167" i="3" s="1"/>
  <c r="I168" i="3"/>
  <c r="I69" i="3"/>
  <c r="I67" i="3"/>
  <c r="I167" i="3" s="1"/>
  <c r="J168" i="3"/>
  <c r="J69" i="3"/>
  <c r="J67" i="3"/>
  <c r="J167" i="3" s="1"/>
  <c r="E87" i="3"/>
  <c r="E37" i="1"/>
  <c r="F150" i="3"/>
  <c r="G81" i="1"/>
  <c r="G82" i="1" s="1"/>
  <c r="F31" i="1"/>
  <c r="E151" i="3"/>
  <c r="D44" i="1"/>
  <c r="D172" i="3"/>
  <c r="D92" i="3"/>
  <c r="D176" i="3"/>
  <c r="D131" i="3"/>
  <c r="D174" i="3" s="1"/>
  <c r="L123" i="3"/>
  <c r="L103" i="3"/>
  <c r="L91" i="3"/>
  <c r="L89" i="3"/>
  <c r="L54" i="3"/>
  <c r="L51" i="3"/>
  <c r="L15" i="6"/>
  <c r="L14" i="6"/>
  <c r="L13" i="6"/>
  <c r="N6" i="6"/>
  <c r="N43" i="3"/>
  <c r="N41" i="3"/>
  <c r="O38" i="3"/>
  <c r="M19" i="6"/>
  <c r="M9" i="6"/>
  <c r="M50" i="3"/>
  <c r="M42" i="3"/>
  <c r="M12" i="6"/>
  <c r="M10" i="6"/>
  <c r="K99" i="3"/>
  <c r="K90" i="3"/>
  <c r="K52" i="3"/>
  <c r="K126" i="3"/>
  <c r="K49" i="6"/>
  <c r="K51" i="6" s="1"/>
  <c r="K154" i="3"/>
  <c r="K146" i="3"/>
  <c r="K124" i="3"/>
  <c r="K93" i="3"/>
  <c r="N7" i="6"/>
  <c r="N44" i="3"/>
  <c r="O39" i="3"/>
  <c r="M13" i="6"/>
  <c r="M11" i="6"/>
  <c r="N8" i="6"/>
  <c r="O40" i="3"/>
  <c r="O8" i="6" s="1"/>
  <c r="N21" i="6"/>
  <c r="N22" i="6" s="1"/>
  <c r="O96" i="3"/>
  <c r="O60" i="3"/>
  <c r="N147" i="3"/>
  <c r="O102" i="3"/>
  <c r="N108" i="3"/>
  <c r="O105" i="3"/>
  <c r="O110" i="3"/>
  <c r="O108" i="3" l="1"/>
  <c r="O63" i="3"/>
  <c r="O147" i="3"/>
  <c r="O21" i="6"/>
  <c r="O22" i="6" s="1"/>
  <c r="O7" i="6"/>
  <c r="O44" i="3"/>
  <c r="N11" i="6"/>
  <c r="K97" i="3"/>
  <c r="L57" i="3"/>
  <c r="K132" i="3"/>
  <c r="K127" i="3"/>
  <c r="K55" i="3"/>
  <c r="K56" i="3" s="1"/>
  <c r="K53" i="3"/>
  <c r="K164" i="3" s="1"/>
  <c r="K34" i="6"/>
  <c r="M123" i="3"/>
  <c r="M103" i="3"/>
  <c r="M91" i="3"/>
  <c r="M89" i="3"/>
  <c r="M54" i="3"/>
  <c r="M51" i="3"/>
  <c r="M15" i="6"/>
  <c r="M14" i="6"/>
  <c r="O6" i="6"/>
  <c r="O43" i="3"/>
  <c r="O41" i="3"/>
  <c r="N19" i="6"/>
  <c r="N9" i="6"/>
  <c r="N50" i="3"/>
  <c r="N42" i="3"/>
  <c r="N12" i="6"/>
  <c r="N10" i="6"/>
  <c r="L99" i="3"/>
  <c r="L90" i="3"/>
  <c r="L52" i="3"/>
  <c r="L126" i="3"/>
  <c r="L49" i="6"/>
  <c r="L51" i="6" s="1"/>
  <c r="L154" i="3"/>
  <c r="L146" i="3"/>
  <c r="L124" i="3"/>
  <c r="D171" i="3"/>
  <c r="D98" i="3"/>
  <c r="F87" i="3"/>
  <c r="F37" i="1"/>
  <c r="G150" i="3"/>
  <c r="H81" i="1"/>
  <c r="H82" i="1" s="1"/>
  <c r="G31" i="1"/>
  <c r="F151" i="3"/>
  <c r="E44" i="1"/>
  <c r="E172" i="3"/>
  <c r="E92" i="3"/>
  <c r="E176" i="3"/>
  <c r="E131" i="3"/>
  <c r="E174" i="3" s="1"/>
  <c r="J33" i="3"/>
  <c r="J175" i="3"/>
  <c r="I33" i="3"/>
  <c r="I175" i="3"/>
  <c r="H33" i="3"/>
  <c r="H175" i="3"/>
  <c r="G33" i="3"/>
  <c r="G175" i="3"/>
  <c r="F33" i="3"/>
  <c r="F175" i="3"/>
  <c r="E33" i="3"/>
  <c r="E175" i="3"/>
  <c r="D33" i="3"/>
  <c r="D175" i="3"/>
  <c r="J9" i="1"/>
  <c r="K8" i="1"/>
  <c r="K9" i="1" l="1"/>
  <c r="L8" i="1"/>
  <c r="E171" i="3"/>
  <c r="E98" i="3"/>
  <c r="G87" i="3"/>
  <c r="G37" i="1"/>
  <c r="H150" i="3"/>
  <c r="I81" i="1"/>
  <c r="I82" i="1" s="1"/>
  <c r="H31" i="1"/>
  <c r="G151" i="3"/>
  <c r="F44" i="1"/>
  <c r="F172" i="3"/>
  <c r="F92" i="3"/>
  <c r="F176" i="3"/>
  <c r="F131" i="3"/>
  <c r="F174" i="3" s="1"/>
  <c r="D116" i="3"/>
  <c r="D169" i="3"/>
  <c r="E169" i="3"/>
  <c r="L127" i="3"/>
  <c r="L55" i="3"/>
  <c r="L53" i="3"/>
  <c r="L164" i="3" s="1"/>
  <c r="L34" i="6"/>
  <c r="N123" i="3"/>
  <c r="N103" i="3"/>
  <c r="N91" i="3"/>
  <c r="N89" i="3"/>
  <c r="N54" i="3"/>
  <c r="N51" i="3"/>
  <c r="N15" i="6"/>
  <c r="N14" i="6"/>
  <c r="N13" i="6"/>
  <c r="O19" i="6"/>
  <c r="O9" i="6"/>
  <c r="O50" i="3"/>
  <c r="O42" i="3"/>
  <c r="O12" i="6"/>
  <c r="O10" i="6"/>
  <c r="M99" i="3"/>
  <c r="M90" i="3"/>
  <c r="M52" i="3"/>
  <c r="M126" i="3"/>
  <c r="M49" i="6"/>
  <c r="M51" i="6" s="1"/>
  <c r="M154" i="3"/>
  <c r="M146" i="3"/>
  <c r="M124" i="3"/>
  <c r="K24" i="6"/>
  <c r="K27" i="6" s="1"/>
  <c r="K133" i="3"/>
  <c r="K152" i="3" s="1"/>
  <c r="K62" i="3"/>
  <c r="K64" i="3" s="1"/>
  <c r="K58" i="3"/>
  <c r="K59" i="3" s="1"/>
  <c r="K165" i="3" s="1"/>
  <c r="K166" i="3"/>
  <c r="K155" i="3"/>
  <c r="K144" i="3"/>
  <c r="L42" i="6"/>
  <c r="L44" i="6" s="1"/>
  <c r="L153" i="3"/>
  <c r="L142" i="3"/>
  <c r="L125" i="3"/>
  <c r="L93" i="3"/>
  <c r="O13" i="6"/>
  <c r="O11" i="6"/>
  <c r="L97" i="3" l="1"/>
  <c r="M57" i="3"/>
  <c r="L132" i="3"/>
  <c r="K26" i="6"/>
  <c r="K25" i="6"/>
  <c r="K65" i="3"/>
  <c r="K156" i="3"/>
  <c r="K134" i="3"/>
  <c r="K170" i="3" s="1"/>
  <c r="M127" i="3"/>
  <c r="M55" i="3"/>
  <c r="M53" i="3"/>
  <c r="M164" i="3" s="1"/>
  <c r="M34" i="6"/>
  <c r="O123" i="3"/>
  <c r="O103" i="3"/>
  <c r="O91" i="3"/>
  <c r="O89" i="3"/>
  <c r="O54" i="3"/>
  <c r="O51" i="3"/>
  <c r="O15" i="6"/>
  <c r="O14" i="6"/>
  <c r="N99" i="3"/>
  <c r="N90" i="3"/>
  <c r="N52" i="3"/>
  <c r="N126" i="3"/>
  <c r="N49" i="6"/>
  <c r="N51" i="6" s="1"/>
  <c r="N154" i="3"/>
  <c r="N146" i="3"/>
  <c r="N124" i="3"/>
  <c r="L24" i="6"/>
  <c r="L27" i="6" s="1"/>
  <c r="L133" i="3"/>
  <c r="L62" i="3"/>
  <c r="L64" i="3" s="1"/>
  <c r="L58" i="3"/>
  <c r="L59" i="3" s="1"/>
  <c r="L165" i="3" s="1"/>
  <c r="L56" i="3"/>
  <c r="L166" i="3" s="1"/>
  <c r="L155" i="3"/>
  <c r="L144" i="3"/>
  <c r="F171" i="3"/>
  <c r="F98" i="3"/>
  <c r="H87" i="3"/>
  <c r="H37" i="1"/>
  <c r="I150" i="3"/>
  <c r="J81" i="1"/>
  <c r="J82" i="1" s="1"/>
  <c r="I31" i="1"/>
  <c r="H151" i="3"/>
  <c r="G44" i="1"/>
  <c r="G172" i="3"/>
  <c r="G92" i="3"/>
  <c r="G176" i="3"/>
  <c r="G131" i="3"/>
  <c r="G174" i="3" s="1"/>
  <c r="E116" i="3"/>
  <c r="F169" i="3"/>
  <c r="L9" i="1"/>
  <c r="M8" i="1"/>
  <c r="M9" i="1" l="1"/>
  <c r="N8" i="1"/>
  <c r="G171" i="3"/>
  <c r="G98" i="3"/>
  <c r="I87" i="3"/>
  <c r="I37" i="1"/>
  <c r="J150" i="3"/>
  <c r="J31" i="1"/>
  <c r="I151" i="3"/>
  <c r="H44" i="1"/>
  <c r="H172" i="3"/>
  <c r="H92" i="3"/>
  <c r="H176" i="3"/>
  <c r="H131" i="3"/>
  <c r="H174" i="3" s="1"/>
  <c r="F116" i="3"/>
  <c r="G169" i="3"/>
  <c r="L26" i="6"/>
  <c r="L25" i="6"/>
  <c r="L65" i="3"/>
  <c r="L152" i="3"/>
  <c r="L156" i="3" s="1"/>
  <c r="L158" i="3" s="1"/>
  <c r="L134" i="3"/>
  <c r="L170" i="3" s="1"/>
  <c r="N127" i="3"/>
  <c r="N55" i="3"/>
  <c r="N53" i="3"/>
  <c r="N164" i="3" s="1"/>
  <c r="N34" i="6"/>
  <c r="O99" i="3"/>
  <c r="O90" i="3"/>
  <c r="O52" i="3"/>
  <c r="O126" i="3"/>
  <c r="O49" i="6"/>
  <c r="O51" i="6" s="1"/>
  <c r="O154" i="3"/>
  <c r="O146" i="3"/>
  <c r="O124" i="3"/>
  <c r="M24" i="6"/>
  <c r="M27" i="6" s="1"/>
  <c r="M133" i="3"/>
  <c r="M62" i="3"/>
  <c r="M64" i="3" s="1"/>
  <c r="M58" i="3"/>
  <c r="M59" i="3" s="1"/>
  <c r="M165" i="3" s="1"/>
  <c r="M56" i="3"/>
  <c r="M166" i="3" s="1"/>
  <c r="M155" i="3"/>
  <c r="M144" i="3"/>
  <c r="K158" i="3"/>
  <c r="K41" i="6"/>
  <c r="K39" i="6"/>
  <c r="K40" i="6" s="1"/>
  <c r="K101" i="3"/>
  <c r="K66" i="3"/>
  <c r="M42" i="6"/>
  <c r="M44" i="6" s="1"/>
  <c r="M153" i="3"/>
  <c r="M142" i="3"/>
  <c r="M125" i="3"/>
  <c r="M93" i="3"/>
  <c r="M97" i="3" l="1"/>
  <c r="N57" i="3"/>
  <c r="M132" i="3"/>
  <c r="K141" i="3"/>
  <c r="K145" i="3" s="1"/>
  <c r="K69" i="3"/>
  <c r="K67" i="3"/>
  <c r="K167" i="3" s="1"/>
  <c r="M26" i="6"/>
  <c r="M25" i="6"/>
  <c r="M65" i="3"/>
  <c r="M152" i="3"/>
  <c r="M156" i="3" s="1"/>
  <c r="M134" i="3"/>
  <c r="M170" i="3" s="1"/>
  <c r="O127" i="3"/>
  <c r="O55" i="3"/>
  <c r="O53" i="3"/>
  <c r="O164" i="3" s="1"/>
  <c r="O34" i="6"/>
  <c r="N24" i="6"/>
  <c r="N27" i="6" s="1"/>
  <c r="N133" i="3"/>
  <c r="N62" i="3"/>
  <c r="N64" i="3" s="1"/>
  <c r="N58" i="3"/>
  <c r="N59" i="3" s="1"/>
  <c r="N165" i="3" s="1"/>
  <c r="N56" i="3"/>
  <c r="N166" i="3" s="1"/>
  <c r="N155" i="3"/>
  <c r="N144" i="3"/>
  <c r="L41" i="6"/>
  <c r="L39" i="6"/>
  <c r="L40" i="6" s="1"/>
  <c r="L101" i="3"/>
  <c r="L66" i="3"/>
  <c r="H171" i="3"/>
  <c r="H98" i="3"/>
  <c r="J87" i="3"/>
  <c r="J37" i="1"/>
  <c r="J151" i="3"/>
  <c r="I44" i="1"/>
  <c r="I172" i="3"/>
  <c r="I92" i="3"/>
  <c r="I176" i="3"/>
  <c r="I131" i="3"/>
  <c r="I174" i="3" s="1"/>
  <c r="G116" i="3"/>
  <c r="H169" i="3"/>
  <c r="N9" i="1"/>
  <c r="O8" i="1"/>
  <c r="O9" i="1" s="1"/>
  <c r="I171" i="3" l="1"/>
  <c r="I98" i="3"/>
  <c r="J44" i="1"/>
  <c r="C188" i="3"/>
  <c r="J172" i="3"/>
  <c r="J92" i="3"/>
  <c r="J176" i="3"/>
  <c r="J131" i="3"/>
  <c r="J174" i="3" s="1"/>
  <c r="H116" i="3"/>
  <c r="I169" i="3"/>
  <c r="L141" i="3"/>
  <c r="L145" i="3" s="1"/>
  <c r="L69" i="3"/>
  <c r="L67" i="3"/>
  <c r="L167" i="3" s="1"/>
  <c r="N26" i="6"/>
  <c r="N25" i="6"/>
  <c r="N65" i="3"/>
  <c r="N152" i="3"/>
  <c r="O24" i="6"/>
  <c r="O27" i="6" s="1"/>
  <c r="O133" i="3"/>
  <c r="O62" i="3"/>
  <c r="O64" i="3" s="1"/>
  <c r="O56" i="3"/>
  <c r="O166" i="3" s="1"/>
  <c r="O155" i="3"/>
  <c r="O144" i="3"/>
  <c r="M158" i="3"/>
  <c r="M41" i="6"/>
  <c r="M39" i="6"/>
  <c r="M40" i="6" s="1"/>
  <c r="M101" i="3"/>
  <c r="M66" i="3"/>
  <c r="K70" i="3"/>
  <c r="K71" i="3" s="1"/>
  <c r="K175" i="3"/>
  <c r="N42" i="6"/>
  <c r="N44" i="6" s="1"/>
  <c r="N153" i="3"/>
  <c r="N142" i="3"/>
  <c r="N125" i="3"/>
  <c r="N93" i="3"/>
  <c r="N97" i="3" l="1"/>
  <c r="O57" i="3"/>
  <c r="N132" i="3"/>
  <c r="N134" i="3" s="1"/>
  <c r="N170" i="3" s="1"/>
  <c r="K148" i="3"/>
  <c r="K100" i="3"/>
  <c r="K113" i="3"/>
  <c r="M141" i="3"/>
  <c r="M145" i="3" s="1"/>
  <c r="M69" i="3"/>
  <c r="M67" i="3"/>
  <c r="M167" i="3" s="1"/>
  <c r="O26" i="6"/>
  <c r="O25" i="6"/>
  <c r="O65" i="3"/>
  <c r="O152" i="3"/>
  <c r="N156" i="3"/>
  <c r="N41" i="6"/>
  <c r="N39" i="6"/>
  <c r="N40" i="6" s="1"/>
  <c r="N101" i="3"/>
  <c r="N66" i="3"/>
  <c r="L70" i="3"/>
  <c r="L71" i="3" s="1"/>
  <c r="L175" i="3"/>
  <c r="J171" i="3"/>
  <c r="J98" i="3"/>
  <c r="I116" i="3"/>
  <c r="J169" i="3"/>
  <c r="K149" i="3" l="1"/>
  <c r="K87" i="3" s="1"/>
  <c r="J116" i="3"/>
  <c r="L148" i="3"/>
  <c r="L149" i="3" s="1"/>
  <c r="L100" i="3"/>
  <c r="N141" i="3"/>
  <c r="N145" i="3" s="1"/>
  <c r="N69" i="3"/>
  <c r="N67" i="3"/>
  <c r="N167" i="3" s="1"/>
  <c r="N158" i="3"/>
  <c r="O41" i="6"/>
  <c r="O39" i="6"/>
  <c r="O40" i="6" s="1"/>
  <c r="O101" i="3"/>
  <c r="O66" i="3"/>
  <c r="M70" i="3"/>
  <c r="M71" i="3" s="1"/>
  <c r="M175" i="3"/>
  <c r="L113" i="3"/>
  <c r="K114" i="3"/>
  <c r="K35" i="6"/>
  <c r="K36" i="6" s="1"/>
  <c r="K104" i="3"/>
  <c r="K109" i="3" s="1"/>
  <c r="K115" i="3" s="1"/>
  <c r="K150" i="3"/>
  <c r="K151" i="3" s="1"/>
  <c r="L87" i="3"/>
  <c r="O42" i="6"/>
  <c r="O44" i="6" s="1"/>
  <c r="O153" i="3"/>
  <c r="O156" i="3" s="1"/>
  <c r="O142" i="3"/>
  <c r="O125" i="3"/>
  <c r="O58" i="3"/>
  <c r="O93" i="3"/>
  <c r="K88" i="3" l="1"/>
  <c r="O97" i="3"/>
  <c r="O132" i="3"/>
  <c r="O134" i="3" s="1"/>
  <c r="O170" i="3" s="1"/>
  <c r="C193" i="3"/>
  <c r="C194" i="3" s="1"/>
  <c r="D5" i="7" s="1"/>
  <c r="O59" i="3"/>
  <c r="O165" i="3" s="1"/>
  <c r="C184" i="3"/>
  <c r="C185" i="3" s="1"/>
  <c r="C186" i="3" s="1"/>
  <c r="O158" i="3"/>
  <c r="C183" i="3" s="1"/>
  <c r="H9" i="8"/>
  <c r="G9" i="8"/>
  <c r="F9" i="8"/>
  <c r="E9" i="8"/>
  <c r="D9" i="8"/>
  <c r="C9" i="8"/>
  <c r="H8" i="8"/>
  <c r="G8" i="8"/>
  <c r="F8" i="8"/>
  <c r="E8" i="8"/>
  <c r="D8" i="8"/>
  <c r="C8" i="8"/>
  <c r="H7" i="8"/>
  <c r="G7" i="8"/>
  <c r="F7" i="8"/>
  <c r="E7" i="8"/>
  <c r="D7" i="8"/>
  <c r="C7" i="8"/>
  <c r="H6" i="8"/>
  <c r="G6" i="8"/>
  <c r="F6" i="8"/>
  <c r="E6" i="8"/>
  <c r="D6" i="8"/>
  <c r="C6" i="8"/>
  <c r="H5" i="8"/>
  <c r="G5" i="8"/>
  <c r="F5" i="8"/>
  <c r="E5" i="8"/>
  <c r="D5" i="8"/>
  <c r="C5" i="8"/>
  <c r="L150" i="3"/>
  <c r="L151" i="3" s="1"/>
  <c r="K177" i="3"/>
  <c r="K173" i="3"/>
  <c r="K168" i="3"/>
  <c r="M113" i="3"/>
  <c r="L114" i="3"/>
  <c r="M148" i="3"/>
  <c r="M149" i="3" s="1"/>
  <c r="M87" i="3" s="1"/>
  <c r="M100" i="3"/>
  <c r="C195" i="3"/>
  <c r="C196" i="3" s="1"/>
  <c r="D6" i="7" s="1"/>
  <c r="O141" i="3"/>
  <c r="O145" i="3" s="1"/>
  <c r="O69" i="3"/>
  <c r="O67" i="3"/>
  <c r="O167" i="3" s="1"/>
  <c r="C187" i="3"/>
  <c r="C190" i="3" s="1"/>
  <c r="C192" i="3" s="1"/>
  <c r="N70" i="3"/>
  <c r="N71" i="3" s="1"/>
  <c r="N175" i="3"/>
  <c r="L35" i="6"/>
  <c r="L36" i="6" s="1"/>
  <c r="L104" i="3"/>
  <c r="L109" i="3" s="1"/>
  <c r="L115" i="3" s="1"/>
  <c r="L88" i="3" s="1"/>
  <c r="K172" i="3" l="1"/>
  <c r="K92" i="3"/>
  <c r="K131" i="3"/>
  <c r="K174" i="3" s="1"/>
  <c r="K176" i="3"/>
  <c r="K32" i="6"/>
  <c r="K28" i="6" s="1"/>
  <c r="L32" i="6"/>
  <c r="L28" i="6" s="1"/>
  <c r="L172" i="3"/>
  <c r="L92" i="3"/>
  <c r="L131" i="3"/>
  <c r="L174" i="3" s="1"/>
  <c r="L176" i="3"/>
  <c r="N148" i="3"/>
  <c r="N149" i="3" s="1"/>
  <c r="N100" i="3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D4" i="7"/>
  <c r="C200" i="3"/>
  <c r="O70" i="3"/>
  <c r="O71" i="3" s="1"/>
  <c r="O175" i="3"/>
  <c r="M35" i="6"/>
  <c r="M36" i="6" s="1"/>
  <c r="M104" i="3"/>
  <c r="M109" i="3" s="1"/>
  <c r="M150" i="3"/>
  <c r="M151" i="3" s="1"/>
  <c r="N87" i="3"/>
  <c r="L177" i="3"/>
  <c r="L173" i="3"/>
  <c r="L168" i="3"/>
  <c r="N113" i="3"/>
  <c r="M114" i="3"/>
  <c r="K171" i="3" l="1"/>
  <c r="K98" i="3"/>
  <c r="K31" i="6"/>
  <c r="K33" i="6" s="1"/>
  <c r="M177" i="3"/>
  <c r="M173" i="3"/>
  <c r="M168" i="3"/>
  <c r="O113" i="3"/>
  <c r="O114" i="3" s="1"/>
  <c r="N114" i="3"/>
  <c r="N150" i="3"/>
  <c r="N151" i="3" s="1"/>
  <c r="M115" i="3"/>
  <c r="M88" i="3" s="1"/>
  <c r="O148" i="3"/>
  <c r="O149" i="3" s="1"/>
  <c r="O87" i="3" s="1"/>
  <c r="O100" i="3"/>
  <c r="C12" i="7"/>
  <c r="C8" i="7"/>
  <c r="C202" i="3"/>
  <c r="C8" i="3"/>
  <c r="C9" i="3" s="1"/>
  <c r="N35" i="6"/>
  <c r="N36" i="6" s="1"/>
  <c r="N104" i="3"/>
  <c r="N109" i="3" s="1"/>
  <c r="N115" i="3" s="1"/>
  <c r="N88" i="3" s="1"/>
  <c r="L171" i="3"/>
  <c r="L98" i="3"/>
  <c r="L31" i="6"/>
  <c r="L33" i="6" s="1"/>
  <c r="K116" i="3" l="1"/>
  <c r="K169" i="3"/>
  <c r="L116" i="3"/>
  <c r="L169" i="3"/>
  <c r="N32" i="6"/>
  <c r="N28" i="6" s="1"/>
  <c r="N172" i="3"/>
  <c r="N92" i="3"/>
  <c r="N131" i="3"/>
  <c r="N174" i="3" s="1"/>
  <c r="N176" i="3"/>
  <c r="C10" i="7"/>
  <c r="C203" i="3"/>
  <c r="O35" i="6"/>
  <c r="O36" i="6" s="1"/>
  <c r="O104" i="3"/>
  <c r="O109" i="3" s="1"/>
  <c r="O115" i="3" s="1"/>
  <c r="O88" i="3" s="1"/>
  <c r="O32" i="6" s="1"/>
  <c r="O28" i="6" s="1"/>
  <c r="O172" i="3"/>
  <c r="O150" i="3"/>
  <c r="O151" i="3" s="1"/>
  <c r="O92" i="3"/>
  <c r="O131" i="3"/>
  <c r="O174" i="3" s="1"/>
  <c r="O176" i="3"/>
  <c r="M32" i="6"/>
  <c r="M28" i="6" s="1"/>
  <c r="M172" i="3"/>
  <c r="M92" i="3"/>
  <c r="M131" i="3"/>
  <c r="M174" i="3" s="1"/>
  <c r="M176" i="3"/>
  <c r="N177" i="3"/>
  <c r="N173" i="3"/>
  <c r="O168" i="3"/>
  <c r="N168" i="3"/>
  <c r="O177" i="3"/>
  <c r="O173" i="3"/>
  <c r="M171" i="3" l="1"/>
  <c r="M98" i="3"/>
  <c r="M31" i="6"/>
  <c r="M33" i="6" s="1"/>
  <c r="O171" i="3"/>
  <c r="O98" i="3"/>
  <c r="O116" i="3" s="1"/>
  <c r="O31" i="6"/>
  <c r="O33" i="6" s="1"/>
  <c r="C11" i="7"/>
  <c r="C10" i="3"/>
  <c r="N171" i="3"/>
  <c r="N98" i="3"/>
  <c r="N31" i="6"/>
  <c r="N33" i="6" s="1"/>
  <c r="N116" i="3" l="1"/>
  <c r="O169" i="3"/>
  <c r="M116" i="3"/>
  <c r="N169" i="3"/>
  <c r="M16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 Githinji</author>
  </authors>
  <commentList>
    <comment ref="K42" authorId="0" shapeId="0" xr:uid="{03F40727-C91F-40D5-A427-09998EA77671}">
      <text>
        <r>
          <rPr>
            <sz val="11"/>
            <color theme="1"/>
            <rFont val="Calibri"/>
          </rPr>
          <t>Brian Githinji:
The model’s revenue growth is driven by four factors: regional CO₂ volume growth, transport revenue from serving export customers, pricing/mix, and FX translation. 
I do not assume all of these move positively every year. That is why the forecast is only mid-single digit rather than based on historical CAGR</t>
        </r>
      </text>
    </comment>
    <comment ref="K43" authorId="0" shapeId="0" xr:uid="{FE96F2D7-BDAA-46F4-8004-0DD759228A73}">
      <text>
        <r>
          <rPr>
            <sz val="11"/>
            <color theme="1"/>
            <rFont val="Calibri"/>
          </rPr>
          <t>Brian Githinji:
FY2025 reported revenue was affected by FX translation, not purely weak demand. Management still highlighted expansion into non-traditional markets. 
However, I have not assumed a full rebound to historical growth. The forecast is a normalized mid-single-digit assumption that reflects regional expansion, capacity availability, transport revenue, and some pricing, while still recognizing FX and demand risks.</t>
        </r>
      </text>
    </comment>
  </commentList>
</comments>
</file>

<file path=xl/sharedStrings.xml><?xml version="1.0" encoding="utf-8"?>
<sst xmlns="http://schemas.openxmlformats.org/spreadsheetml/2006/main" count="755" uniqueCount="389">
  <si>
    <r>
      <rPr>
        <b/>
        <sz val="10"/>
        <color rgb="FF002366"/>
        <rFont val="Abadi"/>
      </rPr>
      <t xml:space="preserve">
</t>
    </r>
    <r>
      <rPr>
        <sz val="10"/>
        <color rgb="FF002366"/>
        <rFont val="Abadi"/>
      </rPr>
      <t xml:space="preserve">Model by Brian Githinji
</t>
    </r>
  </si>
  <si>
    <t>Company name</t>
  </si>
  <si>
    <t>Carbacid Investments PLc</t>
  </si>
  <si>
    <t>Ticker</t>
  </si>
  <si>
    <t>CARB</t>
  </si>
  <si>
    <t>Fomarting</t>
  </si>
  <si>
    <t>Share price</t>
  </si>
  <si>
    <t>Share price date</t>
  </si>
  <si>
    <t xml:space="preserve">Black text </t>
  </si>
  <si>
    <t>Historical</t>
  </si>
  <si>
    <t>Financial Year - Last year ended</t>
  </si>
  <si>
    <t>Model date</t>
  </si>
  <si>
    <t xml:space="preserve">Blue text  </t>
  </si>
  <si>
    <t>Forecast</t>
  </si>
  <si>
    <t>Shares Outstanding (Millions)</t>
  </si>
  <si>
    <t>Financial year ended</t>
  </si>
  <si>
    <t>Financial year</t>
  </si>
  <si>
    <t>2026 Forecast</t>
  </si>
  <si>
    <t>2026 Actual</t>
  </si>
  <si>
    <t>Actual / Forecast</t>
  </si>
  <si>
    <t>FY 2025</t>
  </si>
  <si>
    <t>HY 2025</t>
  </si>
  <si>
    <t>HY 2026</t>
  </si>
  <si>
    <t xml:space="preserve">Y-O-Y </t>
  </si>
  <si>
    <t>YTD</t>
  </si>
  <si>
    <t>Income statement</t>
  </si>
  <si>
    <t>KShs’m</t>
  </si>
  <si>
    <t>Revenue</t>
  </si>
  <si>
    <t>Cost of sales</t>
  </si>
  <si>
    <t>Gross profit</t>
  </si>
  <si>
    <t>Other income</t>
  </si>
  <si>
    <t>Fair value gain/(loss) on equity investments</t>
  </si>
  <si>
    <t>Fair value gain/(loss) on investment property</t>
  </si>
  <si>
    <t>Impairment Loss</t>
  </si>
  <si>
    <t>Administrative expenses</t>
  </si>
  <si>
    <t>Operating profit</t>
  </si>
  <si>
    <t>Depreciation &amp; amortisation</t>
  </si>
  <si>
    <t>Finance income / interest income</t>
  </si>
  <si>
    <t>Finance cost</t>
  </si>
  <si>
    <t>Profit before tax</t>
  </si>
  <si>
    <t>Tax expense</t>
  </si>
  <si>
    <t>Profit after tax</t>
  </si>
  <si>
    <t>Basic EPS (KSh)</t>
  </si>
  <si>
    <t>DPS declared (KSh)</t>
  </si>
  <si>
    <t>Shares outstanding ('000)</t>
  </si>
  <si>
    <t>Balance Sheet</t>
  </si>
  <si>
    <t>Cash and cash equivalents</t>
  </si>
  <si>
    <t>Short-term bank deposits</t>
  </si>
  <si>
    <t>Trade and other receivables</t>
  </si>
  <si>
    <t>Inventories</t>
  </si>
  <si>
    <t>Current tax recoverable</t>
  </si>
  <si>
    <t>Other current assets</t>
  </si>
  <si>
    <t>Total current assets</t>
  </si>
  <si>
    <t>Property, plant and equipment</t>
  </si>
  <si>
    <t>Investment property</t>
  </si>
  <si>
    <t>Intangible assets</t>
  </si>
  <si>
    <t>Right-of-use assets / prepaid lease</t>
  </si>
  <si>
    <t>Financial assets</t>
  </si>
  <si>
    <t>Total non-current assets</t>
  </si>
  <si>
    <t>TOTAL ASSETS</t>
  </si>
  <si>
    <t>Trade and other payables</t>
  </si>
  <si>
    <t>Dividend payable</t>
  </si>
  <si>
    <t>Current tax payable</t>
  </si>
  <si>
    <t>Current borrowings</t>
  </si>
  <si>
    <t>Total current liabilities</t>
  </si>
  <si>
    <t>Non-current borrowings</t>
  </si>
  <si>
    <t>Deferred income tax</t>
  </si>
  <si>
    <t>Total non-current liabilities</t>
  </si>
  <si>
    <t>TOTAL LIABILITES</t>
  </si>
  <si>
    <t>Share capital</t>
  </si>
  <si>
    <t>Share premium</t>
  </si>
  <si>
    <t>Revaluation / other reserves</t>
  </si>
  <si>
    <t>Retained earnings</t>
  </si>
  <si>
    <t>TOTAL EQUITY</t>
  </si>
  <si>
    <t>TOTAL LIABILITIES &amp; EQUITES</t>
  </si>
  <si>
    <t>Cash Flow Statement</t>
  </si>
  <si>
    <t>Cash generated from operations</t>
  </si>
  <si>
    <t>Interest received</t>
  </si>
  <si>
    <t>Interest paid</t>
  </si>
  <si>
    <t>Income tax paid</t>
  </si>
  <si>
    <t>Net cash generated from operating activities</t>
  </si>
  <si>
    <t>Purchase of property, plant and equipment</t>
  </si>
  <si>
    <t>Purchase of intangible assets</t>
  </si>
  <si>
    <t>Purchase/proceeds of investment property</t>
  </si>
  <si>
    <t>Proceeds from disposal of property,plant and requirement</t>
  </si>
  <si>
    <t>Net financial investment movement</t>
  </si>
  <si>
    <t>Dividends received</t>
  </si>
  <si>
    <t>Net cash used in investing activities</t>
  </si>
  <si>
    <t>Net borrowings movement</t>
  </si>
  <si>
    <t>Dividends paid</t>
  </si>
  <si>
    <t>Net cash from financing activities</t>
  </si>
  <si>
    <t>FX effect on borrowings</t>
  </si>
  <si>
    <t>Net change in cash</t>
  </si>
  <si>
    <t>Opening cash</t>
  </si>
  <si>
    <t>Closing cash</t>
  </si>
  <si>
    <t>Carbacid Investments PLC | Industrial + Investment Holding SOTP</t>
  </si>
  <si>
    <t>Company</t>
  </si>
  <si>
    <t>Carbacid Investments PLC</t>
  </si>
  <si>
    <t>NSE Ticker</t>
  </si>
  <si>
    <t>Sector</t>
  </si>
  <si>
    <t>Manufacturing / Industrial Gases</t>
  </si>
  <si>
    <t>Current Price</t>
  </si>
  <si>
    <t>Target Price</t>
  </si>
  <si>
    <t>Upside / Downside</t>
  </si>
  <si>
    <t>Recommendation</t>
  </si>
  <si>
    <t>Market Capitalisation</t>
  </si>
  <si>
    <t>Shares Outstanding</t>
  </si>
  <si>
    <t>Model Date</t>
  </si>
  <si>
    <t>Units</t>
  </si>
  <si>
    <t>2019A</t>
  </si>
  <si>
    <t>2020A</t>
  </si>
  <si>
    <t>2021A</t>
  </si>
  <si>
    <t>2022A</t>
  </si>
  <si>
    <t>2023A</t>
  </si>
  <si>
    <t>2024A</t>
  </si>
  <si>
    <t>2025A</t>
  </si>
  <si>
    <t>2026F</t>
  </si>
  <si>
    <t>2027F</t>
  </si>
  <si>
    <t>2028F</t>
  </si>
  <si>
    <t>2029F</t>
  </si>
  <si>
    <t>2030F</t>
  </si>
  <si>
    <t>KEY ASSUMPTIONS AND FORECAST DRIVERS</t>
  </si>
  <si>
    <t>CO2 volume growth</t>
  </si>
  <si>
    <t>%</t>
  </si>
  <si>
    <t>-</t>
  </si>
  <si>
    <t>CO2 price / mix / FX growth</t>
  </si>
  <si>
    <t>Transport/logistics revenue growth</t>
  </si>
  <si>
    <t>Other services growth</t>
  </si>
  <si>
    <t>Cost of sales / revenue</t>
  </si>
  <si>
    <t>Gross margin</t>
  </si>
  <si>
    <t>Administrative expenses / revenue</t>
  </si>
  <si>
    <t>D&amp;A / average PPE</t>
  </si>
  <si>
    <t>Capex / revenue</t>
  </si>
  <si>
    <t>Receivable days</t>
  </si>
  <si>
    <t>days</t>
  </si>
  <si>
    <t>Inventory days</t>
  </si>
  <si>
    <t>Payable days</t>
  </si>
  <si>
    <t>Financial assets growth</t>
  </si>
  <si>
    <t>Investment asset yield</t>
  </si>
  <si>
    <t>Dividend payout ratio</t>
  </si>
  <si>
    <t>REVENUE BUILD-UP – DRIVER-BASED</t>
  </si>
  <si>
    <t>CO2 sales revenue</t>
  </si>
  <si>
    <t>KSh mn</t>
  </si>
  <si>
    <t>Transport / logistics revenue</t>
  </si>
  <si>
    <t>Other operating revenue / services</t>
  </si>
  <si>
    <t>Total operating revenue</t>
  </si>
  <si>
    <t>Revenue growth</t>
  </si>
  <si>
    <t>CO2 sales growth</t>
  </si>
  <si>
    <t>Transport/logistics growth</t>
  </si>
  <si>
    <t>INCOME STATEMENT – OPERATING VS INVESTMENT SPLIT</t>
  </si>
  <si>
    <t>Normalised operating EBIT</t>
  </si>
  <si>
    <t>Operating EBIT margin</t>
  </si>
  <si>
    <t>Operating EBITDA</t>
  </si>
  <si>
    <t>EBITDA margin</t>
  </si>
  <si>
    <t>Investment / other income</t>
  </si>
  <si>
    <t>Fair value gains/(losses)</t>
  </si>
  <si>
    <t>Reported operating profit</t>
  </si>
  <si>
    <t>Finance costs</t>
  </si>
  <si>
    <t>Net margin</t>
  </si>
  <si>
    <t>Shares outstanding</t>
  </si>
  <si>
    <t>mn</t>
  </si>
  <si>
    <t>EPS</t>
  </si>
  <si>
    <t>KSh</t>
  </si>
  <si>
    <t>DPS</t>
  </si>
  <si>
    <t>Dividends declared</t>
  </si>
  <si>
    <t>BALANCE SHEET – OPERATING ASSETS AND NON-OPERATING ASSET BASE</t>
  </si>
  <si>
    <t>Short-term bank deposits / excess liquidity</t>
  </si>
  <si>
    <t>Tax recoverable / other current assets</t>
  </si>
  <si>
    <t>Intangibles and right-of-use assets</t>
  </si>
  <si>
    <t>Total assets</t>
  </si>
  <si>
    <t>Dividends payable</t>
  </si>
  <si>
    <t>Tax payable</t>
  </si>
  <si>
    <t>Other current liabilities</t>
  </si>
  <si>
    <t>Deferred tax liability</t>
  </si>
  <si>
    <t>Other non-current liabilities</t>
  </si>
  <si>
    <t>Total liabilities</t>
  </si>
  <si>
    <t>Other reserves</t>
  </si>
  <si>
    <t>Total equity</t>
  </si>
  <si>
    <t>Total liabilities and equity</t>
  </si>
  <si>
    <t>Balance check</t>
  </si>
  <si>
    <t>WORKING CAPITAL, CAPEX AND INVESTED CAPITAL</t>
  </si>
  <si>
    <t>Capital expenditure</t>
  </si>
  <si>
    <t>Operating net working capital</t>
  </si>
  <si>
    <t>Change in net working capital</t>
  </si>
  <si>
    <t>Net debt / (cash)</t>
  </si>
  <si>
    <t>Operating invested capital</t>
  </si>
  <si>
    <t>NOPAT</t>
  </si>
  <si>
    <t>ROIC</t>
  </si>
  <si>
    <t>CASH FLOW STATEMENT AND FREE CASH FLOW</t>
  </si>
  <si>
    <t>Less: non-cash fair value gains</t>
  </si>
  <si>
    <t>Change in working capital</t>
  </si>
  <si>
    <t>Operating cash flow</t>
  </si>
  <si>
    <t>Debt movement</t>
  </si>
  <si>
    <t>Cash flow check</t>
  </si>
  <si>
    <t>D&amp;A add-back</t>
  </si>
  <si>
    <t>Capex</t>
  </si>
  <si>
    <t>Change in operating NWC</t>
  </si>
  <si>
    <t>FCFF</t>
  </si>
  <si>
    <t>Discount factor</t>
  </si>
  <si>
    <t>x</t>
  </si>
  <si>
    <t>PV of FCFF</t>
  </si>
  <si>
    <t>RATIO ANALYSIS</t>
  </si>
  <si>
    <t>ROE</t>
  </si>
  <si>
    <t>ROA</t>
  </si>
  <si>
    <t>Current ratio</t>
  </si>
  <si>
    <t>Quick ratio</t>
  </si>
  <si>
    <t>Debt / equity</t>
  </si>
  <si>
    <t>Net debt / EBITDA</t>
  </si>
  <si>
    <t>P/E</t>
  </si>
  <si>
    <t>EV / EBITDA</t>
  </si>
  <si>
    <t>Price / Book</t>
  </si>
  <si>
    <t>VALUATION – FCFF DCF / SOTP, EV/EBITDA AND P/E CROSS-CHECK</t>
  </si>
  <si>
    <t>PV explicit FCFF</t>
  </si>
  <si>
    <t>Terminal FCFF</t>
  </si>
  <si>
    <t>Terminal value</t>
  </si>
  <si>
    <t>PV terminal value</t>
  </si>
  <si>
    <t>Operating enterprise value</t>
  </si>
  <si>
    <t>Non-operating cash, investments &amp; investment property</t>
  </si>
  <si>
    <t>Gross debt</t>
  </si>
  <si>
    <t>Equity value - DCF/SOTP</t>
  </si>
  <si>
    <t>DCF/SOTP fair value per share</t>
  </si>
  <si>
    <t>EV/EBITDA terminal equity value</t>
  </si>
  <si>
    <t>EV/EBITDA fair value per share</t>
  </si>
  <si>
    <t>P/E terminal equity value</t>
  </si>
  <si>
    <t>P/E fair value per share</t>
  </si>
  <si>
    <t>DCF/SOTP weight</t>
  </si>
  <si>
    <t>EV/EBITDA weight</t>
  </si>
  <si>
    <t>P/E weight</t>
  </si>
  <si>
    <t>Weighted target price</t>
  </si>
  <si>
    <t>Current price</t>
  </si>
  <si>
    <t>Upside / downside</t>
  </si>
  <si>
    <t>SENSITIVITY SUMMARY</t>
  </si>
  <si>
    <t>Full sensitivity tables are in the Sensitivity sheet. Key valuation outputs and checks are linked to Valuation_Summary and Checks.</t>
  </si>
  <si>
    <t>INVESTMENT SUMMARY, KEY HIGHLIGHTS AND RISKS</t>
  </si>
  <si>
    <t>Investment highlights</t>
  </si>
  <si>
    <t>Regional expansion into Southern Africa, new CO2 plant capacity, solar power efficiency, strong cash/investment base, FSSC 22000 food-grade quality positioning.</t>
  </si>
  <si>
    <t>Key risks</t>
  </si>
  <si>
    <t>Royalties/mining policy, fuel and power inflation, FX translation on exports, customer concentration, logistics disruptions, equity-market volatility in investment portfolio.</t>
  </si>
  <si>
    <t>Manual review items</t>
  </si>
  <si>
    <t>Analyst should refresh market price, risk-free rate, beta, segment revenue split and cost-of-sales bridge before publication.</t>
  </si>
  <si>
    <t>SOURCE AND QUALITY CONTROL NOTES</t>
  </si>
  <si>
    <t>Research basis</t>
  </si>
  <si>
    <t>FY2025 annual report supports turnover growth, gross margin uplift, solar efficiency, regional expansion and investment portfolio recovery.</t>
  </si>
  <si>
    <t>Valuation discipline</t>
  </si>
  <si>
    <t>Operating value excludes investment income and fair-value gains; non-operating assets are added separately.</t>
  </si>
  <si>
    <t>Carbacid Investments PLC – Assumptions Log</t>
  </si>
  <si>
    <t>Category</t>
  </si>
  <si>
    <t>Assumption</t>
  </si>
  <si>
    <t>Base / Value</t>
  </si>
  <si>
    <t>Unit</t>
  </si>
  <si>
    <t>Source / Rationale</t>
  </si>
  <si>
    <t>FY2026F</t>
  </si>
  <si>
    <t>FY2027F</t>
  </si>
  <si>
    <t>FY2028F</t>
  </si>
  <si>
    <t>FY2029F</t>
  </si>
  <si>
    <t>FY2030F</t>
  </si>
  <si>
    <t>Market</t>
  </si>
  <si>
    <t>Current share price</t>
  </si>
  <si>
    <t>KSh/share</t>
  </si>
  <si>
    <t>MarketScreener / NSE end-of-day quote, 01-Jul-2026</t>
  </si>
  <si>
    <t>2026-07-01</t>
  </si>
  <si>
    <t>date</t>
  </si>
  <si>
    <t>Source: MarketScreener quote snapshot</t>
  </si>
  <si>
    <t>mn shares</t>
  </si>
  <si>
    <t>Linked to Historical Financials / 2025 AR share count</t>
  </si>
  <si>
    <t>Valuation</t>
  </si>
  <si>
    <t>Risk-free rate</t>
  </si>
  <si>
    <t>Kenya 10Y government bond yield, 01-Jul-2026</t>
  </si>
  <si>
    <t>Beta</t>
  </si>
  <si>
    <t>Small-cap industrial / specialty gas adjusted beta</t>
  </si>
  <si>
    <t>Equity risk premium</t>
  </si>
  <si>
    <t>Kenya / frontier market equity risk premium assumption</t>
  </si>
  <si>
    <t>Cost of equity</t>
  </si>
  <si>
    <t>CAPM</t>
  </si>
  <si>
    <t>Pre-tax cost of debt</t>
  </si>
  <si>
    <t>Normalised local/FX borrowing cost; anchored to FY2024 loan note disclosure</t>
  </si>
  <si>
    <t>Tax rate</t>
  </si>
  <si>
    <t>Normalised cash tax rate based on recent effective tax rates</t>
  </si>
  <si>
    <t>Target debt weight</t>
  </si>
  <si>
    <t>Conservative long-run capital structure assumption</t>
  </si>
  <si>
    <t>WACC</t>
  </si>
  <si>
    <t>WACC = CoE x E/V + after-tax CoD x D/V</t>
  </si>
  <si>
    <t>Terminal growth</t>
  </si>
  <si>
    <t>Long-run nominal growth assumption</t>
  </si>
  <si>
    <t>DCF / SOTP weight</t>
  </si>
  <si>
    <t>Primary method; separates operating value and non-operating investments</t>
  </si>
  <si>
    <t>Operating multiple cross-check</t>
  </si>
  <si>
    <t>Earnings cross-check; lower weight due investment-income volatility</t>
  </si>
  <si>
    <t>EV/EBITDA exit multiple</t>
  </si>
  <si>
    <t>Specialty industrial / gas multiple cross-check</t>
  </si>
  <si>
    <t>P/E exit multiple</t>
  </si>
  <si>
    <t>Market earnings multiple sanity check</t>
  </si>
  <si>
    <t>Revenue Mix</t>
  </si>
  <si>
    <t>CO2 sales mix of revenue</t>
  </si>
  <si>
    <t>Calculated from Note 6: CO2 sales / total operating revenue</t>
  </si>
  <si>
    <t>Transport revenue mix</t>
  </si>
  <si>
    <t>Calculated from Note 6: transport revenue / total operating revenue</t>
  </si>
  <si>
    <t>Other services revenue mix</t>
  </si>
  <si>
    <t>Calculated residual from Note 6; no other operating revenue separately disclosed</t>
  </si>
  <si>
    <t>Forecast Driver</t>
  </si>
  <si>
    <t>Calculated from Note 6 CO2 sales history, moderated for FY2025 FX drag and new market expansion</t>
  </si>
  <si>
    <t>CO2 price / mix / FX</t>
  </si>
  <si>
    <t>Calculated from Note 5 export mix / Note 6 sales mix; allows pricing, mix and FX effect</t>
  </si>
  <si>
    <t>Calculated from Note 6 transport revenue history; tapered to reflect mature export logistics base</t>
  </si>
  <si>
    <t>No separate other operating revenue disclosed in Note 6; set to 0%</t>
  </si>
  <si>
    <t>Royalty, power, fuel, labour and maintenance assumptions</t>
  </si>
  <si>
    <t>Fixed-cost absorption offset by regional expansion</t>
  </si>
  <si>
    <t>PPE depreciation intensity</t>
  </si>
  <si>
    <t>Solar expansion / fleet / plant maintenance</t>
  </si>
  <si>
    <t>Historical collection cycle adjusted for export mix</t>
  </si>
  <si>
    <t>Gas inventory and spares inventory cycle</t>
  </si>
  <si>
    <t>Supplier/royalty payment cycle</t>
  </si>
  <si>
    <t>Other current assets / revenue</t>
  </si>
  <si>
    <t>Small operating accruals</t>
  </si>
  <si>
    <t>Other current liabilities / revenue</t>
  </si>
  <si>
    <t>Operating accruals and other payables</t>
  </si>
  <si>
    <t>Reinvestment/portfolio return assumption</t>
  </si>
  <si>
    <t>Investment property growth</t>
  </si>
  <si>
    <t>Conservative fair-value/book growth</t>
  </si>
  <si>
    <t>Interest/dividend yield on financial assets</t>
  </si>
  <si>
    <t>Capital Return</t>
  </si>
  <si>
    <t>Consistent dividend payout, with reinvestment for growth</t>
  </si>
  <si>
    <t>Carbacid Investments PLC – Segment Financials from Annual Reports</t>
  </si>
  <si>
    <t>REVENUE SPLIT – NOTE 6 ACTUALS / FORECAST</t>
  </si>
  <si>
    <t>Transport revenue</t>
  </si>
  <si>
    <t>Transport revenue growth</t>
  </si>
  <si>
    <t>CO2 revenue mix</t>
  </si>
  <si>
    <t>Domestic sales</t>
  </si>
  <si>
    <t>Export sales</t>
  </si>
  <si>
    <t>Export revenue mix</t>
  </si>
  <si>
    <t>SEGMENT RESULTS – NOTE 5 ACTUALS / FORECAST</t>
  </si>
  <si>
    <t>Trading revenue from contracts with customers</t>
  </si>
  <si>
    <t>Investment revenue from contracts with customers</t>
  </si>
  <si>
    <t>Trading interest income</t>
  </si>
  <si>
    <t>Investment interest income</t>
  </si>
  <si>
    <t>Trading profit before tax</t>
  </si>
  <si>
    <t>Investment profit before tax</t>
  </si>
  <si>
    <t>Group profit before tax</t>
  </si>
  <si>
    <t>Trading PBT margin</t>
  </si>
  <si>
    <t>Investment PBT / investment assets</t>
  </si>
  <si>
    <t>SEGMENT ASSETS AND LIABILITIES – NOTE 5 ACTUALS</t>
  </si>
  <si>
    <t>Trading segment assets</t>
  </si>
  <si>
    <t>Investment segment assets</t>
  </si>
  <si>
    <t>Group segment assets</t>
  </si>
  <si>
    <t>Trading segment liabilities</t>
  </si>
  <si>
    <t>Investment segment liabilities</t>
  </si>
  <si>
    <t>Group segment liabilities</t>
  </si>
  <si>
    <t>SEGMENT SUPPORTING ITEMS – NOTE 5 / NOTE 9 ACTUALS</t>
  </si>
  <si>
    <t>Tax expense – Trading</t>
  </si>
  <si>
    <t>Tax expense – Investment</t>
  </si>
  <si>
    <t>Tax expense – Group</t>
  </si>
  <si>
    <t>Depreciation PPE – Trading</t>
  </si>
  <si>
    <t>Depreciation PPE – Investment</t>
  </si>
  <si>
    <t>Depreciation PPE – Group</t>
  </si>
  <si>
    <t>Amortisation of intangible assets</t>
  </si>
  <si>
    <t>Depreciation of right-of-use assets – Trading</t>
  </si>
  <si>
    <t>Depreciation of right-of-use assets – Investment</t>
  </si>
  <si>
    <t>Depreciation of right-of-use assets – Group</t>
  </si>
  <si>
    <t>Capital expenditure – Trading</t>
  </si>
  <si>
    <t>Capital expenditure – Investment</t>
  </si>
  <si>
    <t>Capital expenditure – Group</t>
  </si>
  <si>
    <t>Carbacid Investments PLC – Valuation Summary</t>
  </si>
  <si>
    <t>Valuation method</t>
  </si>
  <si>
    <t>Weight</t>
  </si>
  <si>
    <t>Fair value / share</t>
  </si>
  <si>
    <t>Comment</t>
  </si>
  <si>
    <t>FCFF DCF / SOTP</t>
  </si>
  <si>
    <t>Primary method; operating value + separate non-operating assets</t>
  </si>
  <si>
    <t>EV/EBITDA</t>
  </si>
  <si>
    <t>Industrial / specialty gas cross-check</t>
  </si>
  <si>
    <t>Earnings cross-check; lowest weight due investment income volatility</t>
  </si>
  <si>
    <t>Market capitalisation at target</t>
  </si>
  <si>
    <t>Methodology</t>
  </si>
  <si>
    <t>Industrial SOTP: FCFF operating value + non-operating investments; DDM not used.</t>
  </si>
  <si>
    <t>Judgement</t>
  </si>
  <si>
    <t>Use SOTP because Carbacid combines an operating CO₂ business and an investment portfolio. Reported PAT includes investment income and fair-value movements, so operating cash flow is valued separately from non-operating assets.</t>
  </si>
  <si>
    <t>Revenue logic</t>
  </si>
  <si>
    <t>Revenue is split using actual Note 6 disclosures: CO2 sales revenue and transport revenue. Other operating services are set to zero unless disclosed in future reports.</t>
  </si>
  <si>
    <t>Gross margin logic</t>
  </si>
  <si>
    <t>FY2025 margin benefits from solar power and plant efficiency, but royalty, labour, maintenance and fuel costs are expected to create partial mean reversion.</t>
  </si>
  <si>
    <t>Investment portfolio</t>
  </si>
  <si>
    <t>Cash/deposits, financial assets and investment property are added separately at latest actual book/fair value to avoid double-counting.</t>
  </si>
  <si>
    <t>Recommendation rule</t>
  </si>
  <si>
    <t>BUY &gt;15% upside; SELL &lt;-10% downside; otherwise HOLD.</t>
  </si>
  <si>
    <t>Carbacid Investments PLC – Sensitivity Analysis</t>
  </si>
  <si>
    <t>DCF/SOTP Sensitivity: Target Price vs WACC and Terminal Growth</t>
  </si>
  <si>
    <t>Terminal g \ WACC</t>
  </si>
  <si>
    <t>Weighted Target Sensitivity: EV/EBITDA and P/E Multiples</t>
  </si>
  <si>
    <t>P/E \ EV/EBITDA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</si>
</sst>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;[Red]\(#,##0\);\-"/>
    <numFmt numFmtId="165" formatCode="0.0\x;[Red]\(0.0\x\);\-"/>
    <numFmt numFmtId="166" formatCode="#,##0.00;[Red]\(#,##0.00\);\-"/>
    <numFmt numFmtId="167" formatCode="yyyy\F"/>
    <numFmt numFmtId="168" formatCode="0.0%;[Red]\(0.0%\);\-"/>
    <numFmt numFmtId="169" formatCode="#,##0.0;[Red]\(#,##0.0\);\-"/>
    <numFmt numFmtId="170" formatCode="0.00;[Red]\(0.00\);\-"/>
    <numFmt numFmtId="171" formatCode="_-* #,##0.00_-;\-* #,##0.00_-;_-* &quot;-&quot;??_-;_-@_-"/>
    <numFmt numFmtId="172" formatCode="dd\-mmm\-yyyy"/>
    <numFmt numFmtId="173" formatCode="_-* #,##0.0_-;\-* #,##0.0_-;_-* &quot;-&quot;??_-;_-@_-"/>
    <numFmt numFmtId="174" formatCode="dd\ mmm\ yyyy"/>
    <numFmt numFmtId="175" formatCode="yyyy\A"/>
    <numFmt numFmtId="176" formatCode="yyyy\-mm\-dd"/>
    <numFmt numFmtId="177" formatCode="0.000"/>
    <numFmt numFmtId="178" formatCode="0.00\x"/>
    <numFmt numFmtId="179" formatCode="0.0"/>
  </numFmts>
  <fonts count="25">
    <font>
      <sz val="11"/>
      <color theme="1"/>
      <name val="Calibri"/>
    </font>
    <font>
      <i/>
      <sz val="10"/>
      <color rgb="FF666666"/>
      <name val="Calibri"/>
    </font>
    <font>
      <sz val="10"/>
      <name val="Calibri"/>
    </font>
    <font>
      <sz val="10"/>
      <color rgb="FF002366"/>
      <name val="Abadi"/>
    </font>
    <font>
      <b/>
      <sz val="10"/>
      <color theme="1"/>
      <name val="Abadi"/>
    </font>
    <font>
      <b/>
      <sz val="10"/>
      <color rgb="FF0070C0"/>
      <name val="Abadi"/>
    </font>
    <font>
      <b/>
      <sz val="11"/>
      <color theme="1"/>
      <name val="Aptos Narrow"/>
    </font>
    <font>
      <b/>
      <sz val="10"/>
      <color theme="6"/>
      <name val="Abadi"/>
    </font>
    <font>
      <sz val="11"/>
      <color theme="1"/>
      <name val="Calibri"/>
    </font>
    <font>
      <b/>
      <sz val="13"/>
      <color theme="3"/>
      <name val="Calibri"/>
    </font>
    <font>
      <sz val="11"/>
      <color rgb="FF3F3F76"/>
      <name val="Calibri"/>
    </font>
    <font>
      <b/>
      <sz val="11"/>
      <color rgb="FF3F3F3F"/>
      <name val="Calibri"/>
    </font>
    <font>
      <b/>
      <sz val="10"/>
      <color rgb="FF002366"/>
      <name val="Abadi"/>
    </font>
    <font>
      <b/>
      <sz val="10"/>
      <name val="Calibri"/>
    </font>
    <font>
      <b/>
      <sz val="11"/>
      <color theme="1"/>
      <name val="Calibri"/>
    </font>
    <font>
      <b/>
      <sz val="11"/>
      <color rgb="FF1F4E79"/>
      <name val="Calibri"/>
    </font>
    <font>
      <sz val="11"/>
      <color rgb="FF000000"/>
      <name val="Calibri"/>
    </font>
    <font>
      <sz val="11"/>
      <color rgb="FF1F4E79"/>
      <name val="Calibri"/>
    </font>
    <font>
      <b/>
      <sz val="11"/>
      <color rgb="FF000000"/>
      <name val="Calibri"/>
    </font>
    <font>
      <b/>
      <sz val="12"/>
      <color rgb="FF1F4E78"/>
      <name val="Calibri"/>
    </font>
    <font>
      <b/>
      <sz val="11"/>
      <color rgb="FF1F4E78"/>
      <name val="Calibri"/>
    </font>
    <font>
      <sz val="12"/>
      <color rgb="FF000000"/>
      <name val="Calibri"/>
    </font>
    <font>
      <b/>
      <sz val="10"/>
      <color rgb="FF002366"/>
      <name val="Abadi"/>
      <family val="2"/>
    </font>
    <font>
      <sz val="10"/>
      <color rgb="FF002366"/>
      <name val="Abadi"/>
      <family val="2"/>
    </font>
    <font>
      <sz val="10"/>
      <color rgb="FF0070C0"/>
      <name val="Abad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E8E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/>
      <diagonal/>
    </border>
    <border>
      <left/>
      <right/>
      <top style="thin">
        <color rgb="FF002366"/>
      </top>
      <bottom style="thin">
        <color rgb="FF002366"/>
      </bottom>
      <diagonal/>
    </border>
    <border>
      <left/>
      <right/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 style="thin">
        <color rgb="FFD9E1F2"/>
      </left>
      <right/>
      <top/>
      <bottom/>
      <diagonal/>
    </border>
    <border>
      <left style="thin">
        <color rgb="FFD9E1F2"/>
      </left>
      <right/>
      <top/>
      <bottom style="thin">
        <color rgb="FF000000"/>
      </bottom>
      <diagonal/>
    </border>
    <border>
      <left style="thin">
        <color rgb="FFD9E1F2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D9E1F2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rgb="FF002366"/>
      </top>
      <bottom style="thin">
        <color rgb="FF002366"/>
      </bottom>
      <diagonal/>
    </border>
  </borders>
  <cellStyleXfs count="5">
    <xf numFmtId="0" fontId="0" fillId="0" borderId="1"/>
    <xf numFmtId="9" fontId="8" fillId="0" borderId="1"/>
    <xf numFmtId="0" fontId="9" fillId="0" borderId="4"/>
    <xf numFmtId="0" fontId="10" fillId="2" borderId="2"/>
    <xf numFmtId="0" fontId="11" fillId="3" borderId="3"/>
  </cellStyleXfs>
  <cellXfs count="119">
    <xf numFmtId="0" fontId="0" fillId="0" borderId="0" xfId="0" applyBorder="1"/>
    <xf numFmtId="0" fontId="1" fillId="0" borderId="1" xfId="0" applyFont="1"/>
    <xf numFmtId="0" fontId="2" fillId="0" borderId="1" xfId="0" applyFont="1"/>
    <xf numFmtId="164" fontId="2" fillId="0" borderId="1" xfId="0" applyNumberFormat="1" applyFont="1"/>
    <xf numFmtId="173" fontId="10" fillId="2" borderId="2" xfId="3" applyNumberFormat="1" applyAlignment="1">
      <alignment horizontal="right"/>
    </xf>
    <xf numFmtId="174" fontId="10" fillId="2" borderId="2" xfId="3" applyNumberFormat="1"/>
    <xf numFmtId="175" fontId="11" fillId="3" borderId="3" xfId="4" applyNumberFormat="1" applyAlignment="1">
      <alignment horizontal="center"/>
    </xf>
    <xf numFmtId="0" fontId="9" fillId="0" borderId="4" xfId="2"/>
    <xf numFmtId="0" fontId="13" fillId="0" borderId="1" xfId="0" applyFont="1"/>
    <xf numFmtId="164" fontId="13" fillId="0" borderId="1" xfId="0" applyNumberFormat="1" applyFont="1"/>
    <xf numFmtId="0" fontId="14" fillId="0" borderId="0" xfId="0" applyFont="1" applyBorder="1"/>
    <xf numFmtId="0" fontId="0" fillId="0" borderId="1" xfId="0"/>
    <xf numFmtId="0" fontId="0" fillId="0" borderId="0" xfId="0" applyBorder="1"/>
    <xf numFmtId="166" fontId="2" fillId="0" borderId="1" xfId="0" applyNumberFormat="1" applyFont="1"/>
    <xf numFmtId="168" fontId="16" fillId="4" borderId="5" xfId="0" applyNumberFormat="1" applyFont="1" applyFill="1" applyBorder="1" applyAlignment="1">
      <alignment vertical="center"/>
    </xf>
    <xf numFmtId="169" fontId="16" fillId="4" borderId="5" xfId="0" applyNumberFormat="1" applyFont="1" applyFill="1" applyBorder="1" applyAlignment="1">
      <alignment vertical="center"/>
    </xf>
    <xf numFmtId="176" fontId="16" fillId="4" borderId="5" xfId="0" applyNumberFormat="1" applyFont="1" applyFill="1" applyBorder="1" applyAlignment="1">
      <alignment vertical="center"/>
    </xf>
    <xf numFmtId="165" fontId="16" fillId="4" borderId="5" xfId="0" applyNumberFormat="1" applyFont="1" applyFill="1" applyBorder="1" applyAlignment="1">
      <alignment vertical="center"/>
    </xf>
    <xf numFmtId="0" fontId="15" fillId="5" borderId="5" xfId="0" applyNumberFormat="1" applyFont="1" applyFill="1" applyBorder="1" applyAlignment="1">
      <alignment vertical="center"/>
    </xf>
    <xf numFmtId="170" fontId="16" fillId="4" borderId="5" xfId="0" applyNumberFormat="1" applyFont="1" applyFill="1" applyBorder="1" applyAlignment="1">
      <alignment vertical="center"/>
    </xf>
    <xf numFmtId="170" fontId="15" fillId="5" borderId="5" xfId="0" applyNumberFormat="1" applyFont="1" applyFill="1" applyBorder="1" applyAlignment="1">
      <alignment vertical="center"/>
    </xf>
    <xf numFmtId="168" fontId="15" fillId="5" borderId="5" xfId="0" applyNumberFormat="1" applyFont="1" applyFill="1" applyBorder="1" applyAlignment="1">
      <alignment vertical="center"/>
    </xf>
    <xf numFmtId="169" fontId="15" fillId="5" borderId="5" xfId="0" applyNumberFormat="1" applyFont="1" applyFill="1" applyBorder="1" applyAlignment="1">
      <alignment vertical="center"/>
    </xf>
    <xf numFmtId="1" fontId="16" fillId="4" borderId="5" xfId="0" applyNumberFormat="1" applyFont="1" applyFill="1" applyBorder="1" applyAlignment="1">
      <alignment vertical="center"/>
    </xf>
    <xf numFmtId="0" fontId="18" fillId="4" borderId="5" xfId="0" applyNumberFormat="1" applyFont="1" applyFill="1" applyBorder="1" applyAlignment="1">
      <alignment vertical="center"/>
    </xf>
    <xf numFmtId="169" fontId="18" fillId="4" borderId="5" xfId="0" applyNumberFormat="1" applyFont="1" applyFill="1" applyBorder="1" applyAlignment="1">
      <alignment vertical="center"/>
    </xf>
    <xf numFmtId="169" fontId="17" fillId="4" borderId="5" xfId="0" applyNumberFormat="1" applyFont="1" applyFill="1" applyBorder="1" applyAlignment="1">
      <alignment vertical="center"/>
    </xf>
    <xf numFmtId="169" fontId="15" fillId="4" borderId="5" xfId="0" applyNumberFormat="1" applyFont="1" applyFill="1" applyBorder="1" applyAlignment="1">
      <alignment vertical="center"/>
    </xf>
    <xf numFmtId="168" fontId="17" fillId="4" borderId="5" xfId="0" applyNumberFormat="1" applyFont="1" applyFill="1" applyBorder="1" applyAlignment="1">
      <alignment vertical="center"/>
    </xf>
    <xf numFmtId="170" fontId="17" fillId="4" borderId="5" xfId="0" applyNumberFormat="1" applyFont="1" applyFill="1" applyBorder="1" applyAlignment="1">
      <alignment vertical="center"/>
    </xf>
    <xf numFmtId="165" fontId="17" fillId="4" borderId="5" xfId="0" applyNumberFormat="1" applyFont="1" applyFill="1" applyBorder="1" applyAlignment="1">
      <alignment vertical="center"/>
    </xf>
    <xf numFmtId="0" fontId="0" fillId="0" borderId="0" xfId="0" applyBorder="1" applyAlignment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8" xfId="0" applyBorder="1"/>
    <xf numFmtId="0" fontId="10" fillId="2" borderId="8" xfId="3" applyBorder="1" applyAlignment="1">
      <alignment horizontal="right" wrapText="1"/>
    </xf>
    <xf numFmtId="0" fontId="10" fillId="2" borderId="8" xfId="3" applyBorder="1"/>
    <xf numFmtId="171" fontId="10" fillId="2" borderId="8" xfId="3" applyNumberFormat="1" applyBorder="1" applyAlignment="1">
      <alignment horizontal="right"/>
    </xf>
    <xf numFmtId="172" fontId="10" fillId="2" borderId="8" xfId="3" applyNumberFormat="1" applyBorder="1"/>
    <xf numFmtId="15" fontId="10" fillId="2" borderId="8" xfId="3" applyNumberFormat="1" applyBorder="1" applyAlignment="1">
      <alignment horizontal="right"/>
    </xf>
    <xf numFmtId="0" fontId="4" fillId="0" borderId="5" xfId="0" applyFont="1" applyBorder="1"/>
    <xf numFmtId="0" fontId="4" fillId="0" borderId="5" xfId="0" applyFont="1" applyBorder="1" applyAlignment="1">
      <alignment horizontal="right"/>
    </xf>
    <xf numFmtId="172" fontId="5" fillId="0" borderId="5" xfId="0" applyNumberFormat="1" applyFont="1" applyBorder="1"/>
    <xf numFmtId="0" fontId="4" fillId="0" borderId="9" xfId="0" applyFont="1" applyBorder="1"/>
    <xf numFmtId="0" fontId="4" fillId="0" borderId="9" xfId="0" applyFont="1" applyBorder="1" applyAlignment="1">
      <alignment horizontal="right"/>
    </xf>
    <xf numFmtId="0" fontId="6" fillId="0" borderId="9" xfId="0" applyFont="1" applyBorder="1"/>
    <xf numFmtId="0" fontId="7" fillId="0" borderId="9" xfId="0" applyFont="1" applyBorder="1"/>
    <xf numFmtId="167" fontId="5" fillId="0" borderId="9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13" fillId="0" borderId="10" xfId="0" applyFont="1" applyBorder="1"/>
    <xf numFmtId="0" fontId="14" fillId="0" borderId="5" xfId="0" applyFont="1" applyBorder="1"/>
    <xf numFmtId="0" fontId="13" fillId="0" borderId="7" xfId="0" applyFont="1" applyBorder="1"/>
    <xf numFmtId="164" fontId="13" fillId="0" borderId="7" xfId="0" applyNumberFormat="1" applyFont="1" applyBorder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164" fontId="13" fillId="0" borderId="13" xfId="0" applyNumberFormat="1" applyFont="1" applyBorder="1"/>
    <xf numFmtId="0" fontId="13" fillId="0" borderId="14" xfId="0" applyFont="1" applyBorder="1"/>
    <xf numFmtId="0" fontId="13" fillId="0" borderId="15" xfId="0" applyFont="1" applyBorder="1"/>
    <xf numFmtId="164" fontId="13" fillId="0" borderId="15" xfId="0" applyNumberFormat="1" applyFont="1" applyBorder="1"/>
    <xf numFmtId="0" fontId="18" fillId="6" borderId="5" xfId="0" applyNumberFormat="1" applyFont="1" applyFill="1" applyBorder="1" applyAlignment="1">
      <alignment horizontal="center" vertical="center"/>
    </xf>
    <xf numFmtId="168" fontId="17" fillId="7" borderId="5" xfId="0" applyNumberFormat="1" applyFont="1" applyFill="1" applyBorder="1" applyAlignment="1">
      <alignment horizontal="right" vertical="center"/>
    </xf>
    <xf numFmtId="1" fontId="17" fillId="7" borderId="5" xfId="0" applyNumberFormat="1" applyFont="1" applyFill="1" applyBorder="1" applyAlignment="1">
      <alignment horizontal="right" vertical="center"/>
    </xf>
    <xf numFmtId="169" fontId="17" fillId="7" borderId="5" xfId="0" applyNumberFormat="1" applyFont="1" applyFill="1" applyBorder="1" applyAlignment="1">
      <alignment horizontal="right" vertical="center"/>
    </xf>
    <xf numFmtId="176" fontId="17" fillId="7" borderId="5" xfId="0" applyNumberFormat="1" applyFont="1" applyFill="1" applyBorder="1" applyAlignment="1">
      <alignment horizontal="right" vertical="center"/>
    </xf>
    <xf numFmtId="177" fontId="17" fillId="7" borderId="5" xfId="0" applyNumberFormat="1" applyFont="1" applyFill="1" applyBorder="1" applyAlignment="1">
      <alignment horizontal="right" vertical="center"/>
    </xf>
    <xf numFmtId="178" fontId="17" fillId="7" borderId="5" xfId="0" applyNumberFormat="1" applyFont="1" applyFill="1" applyBorder="1" applyAlignment="1">
      <alignment horizontal="right" vertical="center"/>
    </xf>
    <xf numFmtId="165" fontId="17" fillId="7" borderId="5" xfId="0" applyNumberFormat="1" applyFont="1" applyFill="1" applyBorder="1" applyAlignment="1">
      <alignment horizontal="right" vertical="center"/>
    </xf>
    <xf numFmtId="0" fontId="0" fillId="0" borderId="5" xfId="0" applyBorder="1" applyAlignment="1"/>
    <xf numFmtId="0" fontId="20" fillId="7" borderId="5" xfId="0" applyNumberFormat="1" applyFont="1" applyFill="1" applyBorder="1" applyAlignment="1">
      <alignment horizontal="center" vertical="center"/>
    </xf>
    <xf numFmtId="0" fontId="20" fillId="6" borderId="5" xfId="0" applyNumberFormat="1" applyFont="1" applyFill="1" applyBorder="1" applyAlignment="1">
      <alignment vertical="center"/>
    </xf>
    <xf numFmtId="0" fontId="15" fillId="6" borderId="5" xfId="0" applyNumberFormat="1" applyFont="1" applyFill="1" applyBorder="1" applyAlignment="1">
      <alignment vertical="center"/>
    </xf>
    <xf numFmtId="168" fontId="15" fillId="6" borderId="5" xfId="0" applyNumberFormat="1" applyFont="1" applyFill="1" applyBorder="1" applyAlignment="1">
      <alignment vertical="center"/>
    </xf>
    <xf numFmtId="169" fontId="20" fillId="6" borderId="5" xfId="0" applyNumberFormat="1" applyFont="1" applyFill="1" applyBorder="1" applyAlignment="1">
      <alignment vertical="center"/>
    </xf>
    <xf numFmtId="168" fontId="15" fillId="6" borderId="5" xfId="0" applyNumberFormat="1" applyFont="1" applyFill="1" applyBorder="1" applyAlignment="1">
      <alignment horizontal="center" vertical="center"/>
    </xf>
    <xf numFmtId="165" fontId="15" fillId="6" borderId="5" xfId="0" applyNumberFormat="1" applyFont="1" applyFill="1" applyBorder="1" applyAlignment="1">
      <alignment horizontal="center" vertical="center"/>
    </xf>
    <xf numFmtId="168" fontId="21" fillId="4" borderId="5" xfId="0" applyNumberFormat="1" applyFont="1" applyFill="1" applyBorder="1" applyAlignment="1">
      <alignment vertical="center"/>
    </xf>
    <xf numFmtId="0" fontId="15" fillId="4" borderId="5" xfId="0" applyNumberFormat="1" applyFont="1" applyFill="1" applyBorder="1" applyAlignment="1">
      <alignment vertical="center"/>
    </xf>
    <xf numFmtId="0" fontId="16" fillId="4" borderId="5" xfId="0" applyNumberFormat="1" applyFont="1" applyFill="1" applyBorder="1" applyAlignment="1">
      <alignment vertical="center"/>
    </xf>
    <xf numFmtId="0" fontId="17" fillId="4" borderId="5" xfId="0" applyNumberFormat="1" applyFont="1" applyFill="1" applyBorder="1" applyAlignment="1">
      <alignment vertical="center"/>
    </xf>
    <xf numFmtId="0" fontId="16" fillId="4" borderId="5" xfId="0" applyNumberFormat="1" applyFont="1" applyFill="1" applyBorder="1" applyAlignment="1">
      <alignment vertical="center" wrapText="1"/>
    </xf>
    <xf numFmtId="0" fontId="15" fillId="6" borderId="5" xfId="0" applyNumberFormat="1" applyFont="1" applyFill="1" applyBorder="1" applyAlignment="1">
      <alignment horizontal="center" vertical="center"/>
    </xf>
    <xf numFmtId="0" fontId="11" fillId="3" borderId="3" xfId="4"/>
    <xf numFmtId="179" fontId="11" fillId="3" borderId="3" xfId="4" applyNumberFormat="1"/>
    <xf numFmtId="170" fontId="15" fillId="5" borderId="16" xfId="0" applyNumberFormat="1" applyFont="1" applyFill="1" applyBorder="1" applyAlignment="1">
      <alignment vertical="center"/>
    </xf>
    <xf numFmtId="170" fontId="15" fillId="5" borderId="17" xfId="0" applyNumberFormat="1" applyFont="1" applyFill="1" applyBorder="1" applyAlignment="1">
      <alignment vertical="center"/>
    </xf>
    <xf numFmtId="168" fontId="15" fillId="5" borderId="17" xfId="0" applyNumberFormat="1" applyFont="1" applyFill="1" applyBorder="1" applyAlignment="1">
      <alignment vertical="center"/>
    </xf>
    <xf numFmtId="169" fontId="15" fillId="5" borderId="18" xfId="0" applyNumberFormat="1" applyFont="1" applyFill="1" applyBorder="1" applyAlignment="1">
      <alignment vertical="center"/>
    </xf>
    <xf numFmtId="169" fontId="16" fillId="4" borderId="16" xfId="0" applyNumberFormat="1" applyFont="1" applyFill="1" applyBorder="1" applyAlignment="1">
      <alignment vertical="center"/>
    </xf>
    <xf numFmtId="169" fontId="16" fillId="4" borderId="17" xfId="0" applyNumberFormat="1" applyFont="1" applyFill="1" applyBorder="1" applyAlignment="1">
      <alignment vertical="center"/>
    </xf>
    <xf numFmtId="170" fontId="16" fillId="4" borderId="17" xfId="0" applyNumberFormat="1" applyFont="1" applyFill="1" applyBorder="1" applyAlignment="1">
      <alignment vertical="center"/>
    </xf>
    <xf numFmtId="168" fontId="16" fillId="4" borderId="17" xfId="0" applyNumberFormat="1" applyFont="1" applyFill="1" applyBorder="1" applyAlignment="1">
      <alignment vertical="center"/>
    </xf>
    <xf numFmtId="0" fontId="16" fillId="4" borderId="19" xfId="0" applyNumberFormat="1" applyFont="1" applyFill="1" applyBorder="1" applyAlignment="1">
      <alignment vertical="center"/>
    </xf>
    <xf numFmtId="0" fontId="16" fillId="4" borderId="20" xfId="0" applyNumberFormat="1" applyFont="1" applyFill="1" applyBorder="1" applyAlignment="1">
      <alignment vertical="center"/>
    </xf>
    <xf numFmtId="0" fontId="10" fillId="2" borderId="21" xfId="3" applyBorder="1"/>
    <xf numFmtId="0" fontId="16" fillId="4" borderId="22" xfId="0" applyNumberFormat="1" applyFont="1" applyFill="1" applyBorder="1" applyAlignment="1">
      <alignment vertical="center"/>
    </xf>
    <xf numFmtId="2" fontId="11" fillId="3" borderId="23" xfId="4" applyNumberFormat="1" applyBorder="1"/>
    <xf numFmtId="0" fontId="16" fillId="4" borderId="5" xfId="0" applyNumberFormat="1" applyFont="1" applyFill="1" applyBorder="1" applyAlignment="1">
      <alignment vertical="center" wrapText="1"/>
    </xf>
    <xf numFmtId="0" fontId="17" fillId="4" borderId="5" xfId="0" applyNumberFormat="1" applyFont="1" applyFill="1" applyBorder="1" applyAlignment="1">
      <alignment vertical="center" wrapText="1"/>
    </xf>
    <xf numFmtId="0" fontId="15" fillId="6" borderId="5" xfId="0" applyNumberFormat="1" applyFont="1" applyFill="1" applyBorder="1" applyAlignment="1">
      <alignment horizontal="left" vertical="center"/>
    </xf>
    <xf numFmtId="0" fontId="16" fillId="4" borderId="5" xfId="0" applyNumberFormat="1" applyFont="1" applyFill="1" applyBorder="1" applyAlignment="1">
      <alignment vertical="top" wrapText="1"/>
    </xf>
    <xf numFmtId="0" fontId="17" fillId="4" borderId="5" xfId="0" applyNumberFormat="1" applyFont="1" applyFill="1" applyBorder="1" applyAlignment="1">
      <alignment vertical="top" wrapText="1"/>
    </xf>
    <xf numFmtId="0" fontId="16" fillId="4" borderId="5" xfId="0" applyNumberFormat="1" applyFont="1" applyFill="1" applyBorder="1" applyAlignment="1">
      <alignment vertical="center"/>
    </xf>
    <xf numFmtId="0" fontId="17" fillId="4" borderId="5" xfId="0" applyNumberFormat="1" applyFont="1" applyFill="1" applyBorder="1" applyAlignment="1">
      <alignment vertical="center"/>
    </xf>
    <xf numFmtId="0" fontId="15" fillId="4" borderId="5" xfId="0" applyNumberFormat="1" applyFont="1" applyFill="1" applyBorder="1" applyAlignment="1">
      <alignment vertical="center"/>
    </xf>
    <xf numFmtId="0" fontId="15" fillId="6" borderId="5" xfId="0" applyNumberFormat="1" applyFont="1" applyFill="1" applyBorder="1" applyAlignment="1">
      <alignment horizontal="left" vertical="center" wrapText="1"/>
    </xf>
    <xf numFmtId="0" fontId="19" fillId="6" borderId="5" xfId="0" applyNumberFormat="1" applyFont="1" applyFill="1" applyBorder="1" applyAlignment="1">
      <alignment horizontal="left" vertical="center" wrapText="1"/>
    </xf>
    <xf numFmtId="0" fontId="15" fillId="6" borderId="5" xfId="0" applyNumberFormat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left" vertical="top" wrapText="1"/>
    </xf>
    <xf numFmtId="0" fontId="22" fillId="8" borderId="6" xfId="0" applyFont="1" applyFill="1" applyBorder="1" applyAlignment="1">
      <alignment horizontal="left" vertical="top" wrapText="1"/>
    </xf>
    <xf numFmtId="0" fontId="23" fillId="8" borderId="6" xfId="0" applyFont="1" applyFill="1" applyBorder="1" applyAlignment="1">
      <alignment horizontal="right"/>
    </xf>
    <xf numFmtId="0" fontId="23" fillId="8" borderId="6" xfId="0" applyFont="1" applyFill="1" applyBorder="1" applyAlignment="1">
      <alignment horizontal="left"/>
    </xf>
    <xf numFmtId="9" fontId="23" fillId="8" borderId="6" xfId="1" applyFont="1" applyFill="1" applyBorder="1" applyAlignment="1">
      <alignment horizontal="left"/>
    </xf>
    <xf numFmtId="0" fontId="24" fillId="8" borderId="6" xfId="0" applyFont="1" applyFill="1" applyBorder="1" applyAlignment="1">
      <alignment horizontal="left"/>
    </xf>
    <xf numFmtId="0" fontId="23" fillId="8" borderId="24" xfId="0" applyFont="1" applyFill="1" applyBorder="1" applyAlignment="1">
      <alignment horizontal="left"/>
    </xf>
    <xf numFmtId="0" fontId="23" fillId="8" borderId="1" xfId="0" applyFont="1" applyFill="1" applyAlignment="1">
      <alignment horizontal="left"/>
    </xf>
  </cellXfs>
  <cellStyles count="5">
    <cellStyle name="Heading 2" xfId="2" xr:uid="{00000000-0005-0000-0000-000000000000}"/>
    <cellStyle name="Input" xfId="3" xr:uid="{00000000-0005-0000-0000-000001000000}"/>
    <cellStyle name="Normal" xfId="0" builtinId="0"/>
    <cellStyle name="Output" xfId="4" xr:uid="{00000000-0005-0000-0000-000003000000}"/>
    <cellStyle name="Percent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Revenue</c:v>
          </c:tx>
          <c:cat>
            <c:strRef>
              <c:f>'Carbacid Model'!$D$15:$O$15</c:f>
              <c:strCache>
                <c:ptCount val="12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  <c:pt idx="5">
                  <c:v>2024A</c:v>
                </c:pt>
                <c:pt idx="6">
                  <c:v>2025A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0">
                  <c:v>2029F</c:v>
                </c:pt>
                <c:pt idx="11">
                  <c:v>2030F</c:v>
                </c:pt>
              </c:strCache>
            </c:strRef>
          </c:cat>
          <c:val>
            <c:numRef>
              <c:f>'Carbacid Model'!$D$50:$O$50</c:f>
              <c:numCache>
                <c:formatCode>#,##0.0;[Red]\(#,##0.0\);\-</c:formatCode>
                <c:ptCount val="12"/>
                <c:pt idx="0">
                  <c:v>630.5</c:v>
                </c:pt>
                <c:pt idx="1">
                  <c:v>682.87800000000004</c:v>
                </c:pt>
                <c:pt idx="2">
                  <c:v>906.58799999999997</c:v>
                </c:pt>
                <c:pt idx="3">
                  <c:v>1414.66</c:v>
                </c:pt>
                <c:pt idx="4">
                  <c:v>1720.943</c:v>
                </c:pt>
                <c:pt idx="5">
                  <c:v>2066.3150000000001</c:v>
                </c:pt>
                <c:pt idx="6">
                  <c:v>2099.85</c:v>
                </c:pt>
                <c:pt idx="7">
                  <c:v>2220.5546599999998</c:v>
                </c:pt>
                <c:pt idx="8">
                  <c:v>2346.8881690999997</c:v>
                </c:pt>
                <c:pt idx="9">
                  <c:v>2483.2462762779996</c:v>
                </c:pt>
                <c:pt idx="10">
                  <c:v>2622.8406167921994</c:v>
                </c:pt>
                <c:pt idx="11">
                  <c:v>2757.2263928501661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8-428E-866C-E6B632CDC6EF}"/>
            </c:ext>
          </c:extLst>
        </c:ser>
        <c:ser>
          <c:idx val="1"/>
          <c:order val="1"/>
          <c:tx>
            <c:v>Operating EBITDA</c:v>
          </c:tx>
          <c:cat>
            <c:strRef>
              <c:f>'Carbacid Model'!$D$15:$O$15</c:f>
              <c:strCache>
                <c:ptCount val="12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  <c:pt idx="5">
                  <c:v>2024A</c:v>
                </c:pt>
                <c:pt idx="6">
                  <c:v>2025A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0">
                  <c:v>2029F</c:v>
                </c:pt>
                <c:pt idx="11">
                  <c:v>2030F</c:v>
                </c:pt>
              </c:strCache>
            </c:strRef>
          </c:cat>
          <c:val>
            <c:numRef>
              <c:f>'Carbacid Model'!$D$58:$O$58</c:f>
              <c:numCache>
                <c:formatCode>#,##0.0;[Red]\(#,##0.0\);\-</c:formatCode>
                <c:ptCount val="12"/>
                <c:pt idx="0">
                  <c:v>278.55799999999999</c:v>
                </c:pt>
                <c:pt idx="1">
                  <c:v>292.51400000000001</c:v>
                </c:pt>
                <c:pt idx="2">
                  <c:v>350.80400000000009</c:v>
                </c:pt>
                <c:pt idx="3">
                  <c:v>646.20900000000006</c:v>
                </c:pt>
                <c:pt idx="4">
                  <c:v>762.85300000000007</c:v>
                </c:pt>
                <c:pt idx="5">
                  <c:v>946.10699999999997</c:v>
                </c:pt>
                <c:pt idx="6">
                  <c:v>1066.9839999999999</c:v>
                </c:pt>
                <c:pt idx="7">
                  <c:v>1110.3637337999999</c:v>
                </c:pt>
                <c:pt idx="8">
                  <c:v>1163.0042599761998</c:v>
                </c:pt>
                <c:pt idx="9">
                  <c:v>1219.9258841533399</c:v>
                </c:pt>
                <c:pt idx="10">
                  <c:v>1268.794936111633</c:v>
                </c:pt>
                <c:pt idx="11">
                  <c:v>1335.4689497358738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F8-428E-866C-E6B632CDC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Gross Margin</c:v>
          </c:tx>
          <c:cat>
            <c:strRef>
              <c:f>'Carbacid Model'!$D$15:$O$15</c:f>
              <c:strCache>
                <c:ptCount val="12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  <c:pt idx="5">
                  <c:v>2024A</c:v>
                </c:pt>
                <c:pt idx="6">
                  <c:v>2025A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0">
                  <c:v>2029F</c:v>
                </c:pt>
                <c:pt idx="11">
                  <c:v>2030F</c:v>
                </c:pt>
              </c:strCache>
            </c:strRef>
          </c:cat>
          <c:val>
            <c:numRef>
              <c:f>'Carbacid Model'!$D$53:$O$53</c:f>
              <c:numCache>
                <c:formatCode>0.0%;[Red]\(0.0%\);\-</c:formatCode>
                <c:ptCount val="12"/>
                <c:pt idx="0">
                  <c:v>0.63484377478191911</c:v>
                </c:pt>
                <c:pt idx="1">
                  <c:v>0.62121052369530139</c:v>
                </c:pt>
                <c:pt idx="2">
                  <c:v>0.61069306013315872</c:v>
                </c:pt>
                <c:pt idx="3">
                  <c:v>0.59390736996875571</c:v>
                </c:pt>
                <c:pt idx="4">
                  <c:v>0.58823679808105211</c:v>
                </c:pt>
                <c:pt idx="5">
                  <c:v>0.5901907502002357</c:v>
                </c:pt>
                <c:pt idx="6">
                  <c:v>0.64417363144986539</c:v>
                </c:pt>
                <c:pt idx="7">
                  <c:v>0.64</c:v>
                </c:pt>
                <c:pt idx="8">
                  <c:v>0.63</c:v>
                </c:pt>
                <c:pt idx="9">
                  <c:v>0.625</c:v>
                </c:pt>
                <c:pt idx="10">
                  <c:v>0.62</c:v>
                </c:pt>
                <c:pt idx="11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2-4A37-A77F-70C61AF341F3}"/>
            </c:ext>
          </c:extLst>
        </c:ser>
        <c:ser>
          <c:idx val="1"/>
          <c:order val="1"/>
          <c:tx>
            <c:v>EBITDA Margin</c:v>
          </c:tx>
          <c:cat>
            <c:strRef>
              <c:f>'Carbacid Model'!$D$15:$O$15</c:f>
              <c:strCache>
                <c:ptCount val="12"/>
                <c:pt idx="0">
                  <c:v>2019A</c:v>
                </c:pt>
                <c:pt idx="1">
                  <c:v>2020A</c:v>
                </c:pt>
                <c:pt idx="2">
                  <c:v>2021A</c:v>
                </c:pt>
                <c:pt idx="3">
                  <c:v>2022A</c:v>
                </c:pt>
                <c:pt idx="4">
                  <c:v>2023A</c:v>
                </c:pt>
                <c:pt idx="5">
                  <c:v>2024A</c:v>
                </c:pt>
                <c:pt idx="6">
                  <c:v>2025A</c:v>
                </c:pt>
                <c:pt idx="7">
                  <c:v>2026F</c:v>
                </c:pt>
                <c:pt idx="8">
                  <c:v>2027F</c:v>
                </c:pt>
                <c:pt idx="9">
                  <c:v>2028F</c:v>
                </c:pt>
                <c:pt idx="10">
                  <c:v>2029F</c:v>
                </c:pt>
                <c:pt idx="11">
                  <c:v>2030F</c:v>
                </c:pt>
              </c:strCache>
            </c:strRef>
          </c:cat>
          <c:val>
            <c:numRef>
              <c:f>'Carbacid Model'!$D$59:$O$59</c:f>
              <c:numCache>
                <c:formatCode>0.0%;[Red]\(0.0%\);\-</c:formatCode>
                <c:ptCount val="12"/>
                <c:pt idx="0">
                  <c:v>0.4418049167327518</c:v>
                </c:pt>
                <c:pt idx="1">
                  <c:v>0.42835469878953486</c:v>
                </c:pt>
                <c:pt idx="2">
                  <c:v>0.38694975005184284</c:v>
                </c:pt>
                <c:pt idx="3">
                  <c:v>0.4567945654786309</c:v>
                </c:pt>
                <c:pt idx="4">
                  <c:v>0.44327615731607617</c:v>
                </c:pt>
                <c:pt idx="5">
                  <c:v>0.45787162170337048</c:v>
                </c:pt>
                <c:pt idx="6">
                  <c:v>0.50812391361287712</c:v>
                </c:pt>
                <c:pt idx="7">
                  <c:v>0.50003891090886277</c:v>
                </c:pt>
                <c:pt idx="8">
                  <c:v>0.49555163100174321</c:v>
                </c:pt>
                <c:pt idx="9">
                  <c:v>0.49126254443913603</c:v>
                </c:pt>
                <c:pt idx="10">
                  <c:v>0.48374839400779196</c:v>
                </c:pt>
                <c:pt idx="11">
                  <c:v>0.48435230171846327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2-4A37-A77F-70C61AF34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FCFF</c:v>
          </c:tx>
          <c:invertIfNegative val="1"/>
          <c:cat>
            <c:strRef>
              <c:f>'Carbacid Model'!$K$15:$O$15</c:f>
              <c:strCache>
                <c:ptCount val="5"/>
                <c:pt idx="0">
                  <c:v>2026F</c:v>
                </c:pt>
                <c:pt idx="1">
                  <c:v>2027F</c:v>
                </c:pt>
                <c:pt idx="2">
                  <c:v>2028F</c:v>
                </c:pt>
                <c:pt idx="3">
                  <c:v>2029F</c:v>
                </c:pt>
                <c:pt idx="4">
                  <c:v>2030F</c:v>
                </c:pt>
              </c:strCache>
            </c:strRef>
          </c:cat>
          <c:val>
            <c:numRef>
              <c:f>'Carbacid Model'!$K$156:$O$156</c:f>
              <c:numCache>
                <c:formatCode>#,##0.0;[Red]\(#,##0.0\);\-</c:formatCode>
                <c:ptCount val="5"/>
                <c:pt idx="0">
                  <c:v>463.73230388654804</c:v>
                </c:pt>
                <c:pt idx="1">
                  <c:v>681.87571268773752</c:v>
                </c:pt>
                <c:pt idx="2">
                  <c:v>737.6768887665462</c:v>
                </c:pt>
                <c:pt idx="3">
                  <c:v>786.71492557475563</c:v>
                </c:pt>
                <c:pt idx="4">
                  <c:v>823.92522706238401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F-407C-94D8-128870879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;[Red]\(#,##0.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1076325</xdr:colOff>
      <xdr:row>13</xdr:row>
      <xdr:rowOff>142875</xdr:rowOff>
    </xdr:from>
    <xdr:to>
      <xdr:col>26</xdr:col>
      <xdr:colOff>466725</xdr:colOff>
      <xdr:row>31</xdr:row>
      <xdr:rowOff>142875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1114425</xdr:colOff>
      <xdr:row>35</xdr:row>
      <xdr:rowOff>0</xdr:rowOff>
    </xdr:from>
    <xdr:to>
      <xdr:col>26</xdr:col>
      <xdr:colOff>504825</xdr:colOff>
      <xdr:row>53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152400</xdr:colOff>
      <xdr:row>61</xdr:row>
      <xdr:rowOff>142875</xdr:rowOff>
    </xdr:from>
    <xdr:to>
      <xdr:col>27</xdr:col>
      <xdr:colOff>133350</xdr:colOff>
      <xdr:row>79</xdr:row>
      <xdr:rowOff>142875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P82"/>
  <sheetViews>
    <sheetView showGridLines="0" workbookViewId="0">
      <selection activeCell="J1" sqref="J1"/>
    </sheetView>
  </sheetViews>
  <sheetFormatPr defaultRowHeight="15"/>
  <cols>
    <col min="1" max="1" width="6.42578125" style="12" customWidth="1"/>
    <col min="2" max="2" width="59.5703125" style="12" customWidth="1"/>
    <col min="3" max="3" width="12" style="12" customWidth="1"/>
    <col min="4" max="4" width="15.5703125" style="12" customWidth="1"/>
    <col min="5" max="5" width="13.5703125" style="12" customWidth="1"/>
    <col min="6" max="9" width="12" style="12" customWidth="1"/>
    <col min="10" max="10" width="14.5703125" style="12" customWidth="1"/>
    <col min="11" max="11" width="14.28515625" style="12" customWidth="1"/>
    <col min="12" max="12" width="13.5703125" style="12" customWidth="1"/>
    <col min="13" max="13" width="13.28515625" style="12" customWidth="1"/>
    <col min="14" max="14" width="13.5703125" style="12" customWidth="1"/>
    <col min="15" max="15" width="12.5703125" style="12" customWidth="1"/>
    <col min="17" max="17" width="15.42578125" style="12" customWidth="1"/>
    <col min="18" max="18" width="13.42578125" style="12" customWidth="1"/>
  </cols>
  <sheetData>
    <row r="1" spans="1:42" s="12" customFormat="1" ht="24" customHeight="1">
      <c r="A1" s="11"/>
      <c r="B1" s="111" t="s">
        <v>0</v>
      </c>
      <c r="C1" s="112"/>
      <c r="D1" s="113"/>
      <c r="E1" s="114"/>
      <c r="F1" s="114"/>
      <c r="G1" s="114"/>
      <c r="H1" s="115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6"/>
      <c r="V1" s="116"/>
      <c r="W1" s="116"/>
      <c r="X1" s="116"/>
      <c r="Y1" s="116"/>
      <c r="Z1" s="114"/>
      <c r="AA1" s="117"/>
      <c r="AB1" s="118"/>
      <c r="AC1" s="118"/>
      <c r="AD1" s="118"/>
      <c r="AE1" s="118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>
      <c r="A2" s="32"/>
      <c r="B2" s="32"/>
      <c r="C2" s="33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s="12" customFormat="1" ht="45.75" customHeight="1">
      <c r="A3" s="32"/>
      <c r="B3" s="34" t="s">
        <v>1</v>
      </c>
      <c r="C3" s="35" t="s">
        <v>2</v>
      </c>
      <c r="D3" s="34" t="s">
        <v>3</v>
      </c>
      <c r="E3" s="36" t="s">
        <v>4</v>
      </c>
      <c r="F3" s="32"/>
      <c r="G3" s="32"/>
      <c r="H3" s="32" t="s">
        <v>5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>
      <c r="A4" s="32"/>
      <c r="B4" s="34" t="s">
        <v>6</v>
      </c>
      <c r="C4" s="37">
        <v>30.9</v>
      </c>
      <c r="D4" s="34" t="s">
        <v>7</v>
      </c>
      <c r="E4" s="38">
        <v>46197</v>
      </c>
      <c r="F4" s="32"/>
      <c r="G4" s="32"/>
      <c r="H4" s="32" t="s">
        <v>8</v>
      </c>
      <c r="I4" s="32" t="s">
        <v>9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 spans="1:42">
      <c r="A5" s="32"/>
      <c r="B5" s="34" t="s">
        <v>10</v>
      </c>
      <c r="C5" s="39">
        <v>45869</v>
      </c>
      <c r="D5" s="34" t="s">
        <v>11</v>
      </c>
      <c r="E5" s="38">
        <v>46202</v>
      </c>
      <c r="F5" s="32"/>
      <c r="G5" s="32"/>
      <c r="H5" s="32" t="s">
        <v>12</v>
      </c>
      <c r="I5" s="32" t="s">
        <v>13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 spans="1:42">
      <c r="A6" s="32"/>
      <c r="B6" s="32" t="s">
        <v>14</v>
      </c>
      <c r="C6" s="4">
        <v>254852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 spans="1:42">
      <c r="A7" s="32"/>
      <c r="B7" s="1"/>
      <c r="C7" s="1"/>
      <c r="D7" s="1"/>
      <c r="E7" s="1"/>
      <c r="F7" s="1"/>
      <c r="G7" s="1"/>
      <c r="H7" s="1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>
      <c r="A8" s="32"/>
      <c r="B8" s="40" t="s">
        <v>15</v>
      </c>
      <c r="C8" s="41"/>
      <c r="D8" s="5">
        <v>43830</v>
      </c>
      <c r="E8" s="5">
        <f>EOMONTH(D8,12)</f>
        <v>44196</v>
      </c>
      <c r="F8" s="5">
        <f>EOMONTH(E8,12)</f>
        <v>44561</v>
      </c>
      <c r="G8" s="5">
        <f>EOMONTH(F8,12)</f>
        <v>44926</v>
      </c>
      <c r="H8" s="5">
        <f>EOMONTH(G8,12)</f>
        <v>45291</v>
      </c>
      <c r="I8" s="5">
        <f>EOMONTH(H8,12)</f>
        <v>45657</v>
      </c>
      <c r="J8" s="5">
        <f>EOMONTH(I8,12)</f>
        <v>46022</v>
      </c>
      <c r="K8" s="42">
        <f>EOMONTH(J8,12)</f>
        <v>46387</v>
      </c>
      <c r="L8" s="42">
        <f>EOMONTH(K8,12)</f>
        <v>46752</v>
      </c>
      <c r="M8" s="42">
        <f>EOMONTH(L8,12)</f>
        <v>47118</v>
      </c>
      <c r="N8" s="42">
        <f>EOMONTH(M8,12)</f>
        <v>47483</v>
      </c>
      <c r="O8" s="42">
        <f>EOMONTH(N8,12)</f>
        <v>47848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 spans="1:42">
      <c r="A9" s="32"/>
      <c r="B9" s="43" t="s">
        <v>16</v>
      </c>
      <c r="C9" s="44"/>
      <c r="D9" s="6" t="str">
        <f>TEXT(D8,"yyyy")</f>
        <v>2019</v>
      </c>
      <c r="E9" s="6" t="str">
        <f>TEXT(E8,"yyyy")</f>
        <v>2020</v>
      </c>
      <c r="F9" s="6" t="str">
        <f>TEXT(F8,"yyyy")</f>
        <v>2021</v>
      </c>
      <c r="G9" s="6" t="str">
        <f>TEXT(G8,"yyyy")</f>
        <v>2022</v>
      </c>
      <c r="H9" s="6" t="str">
        <f>TEXT(H8,"yyyy")</f>
        <v>2023</v>
      </c>
      <c r="I9" s="6" t="str">
        <f>TEXT(I8,"yyyy")</f>
        <v>2024</v>
      </c>
      <c r="J9" s="6" t="str">
        <f>TEXT(J8,"yyyy")</f>
        <v>2025</v>
      </c>
      <c r="K9" s="6" t="str">
        <f>TEXT(K8,"yyyy")</f>
        <v>2026</v>
      </c>
      <c r="L9" s="6" t="str">
        <f>TEXT(L8,"yyyy")</f>
        <v>2027</v>
      </c>
      <c r="M9" s="6" t="str">
        <f>TEXT(M8,"yyyy")</f>
        <v>2028</v>
      </c>
      <c r="N9" s="6" t="str">
        <f>TEXT(N8,"yyyy")</f>
        <v>2029</v>
      </c>
      <c r="O9" s="6" t="str">
        <f>TEXT(O8,"yyyy")</f>
        <v>2030</v>
      </c>
      <c r="P9" s="32"/>
      <c r="Q9" s="45" t="s">
        <v>17</v>
      </c>
      <c r="R9" s="45" t="s">
        <v>18</v>
      </c>
      <c r="S9" s="46" t="s">
        <v>19</v>
      </c>
      <c r="T9" s="32"/>
      <c r="U9" s="47" t="s">
        <v>20</v>
      </c>
      <c r="V9" s="47" t="s">
        <v>21</v>
      </c>
      <c r="W9" s="47" t="s">
        <v>22</v>
      </c>
      <c r="X9" s="47" t="s">
        <v>23</v>
      </c>
      <c r="Y9" s="47" t="s">
        <v>24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 spans="1:42" s="12" customFormat="1" ht="17.25" customHeight="1">
      <c r="A10" s="32"/>
      <c r="B10" s="7" t="s">
        <v>25</v>
      </c>
      <c r="C10" s="7" t="s">
        <v>26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32"/>
      <c r="AJ10" s="32"/>
      <c r="AK10" s="32"/>
      <c r="AL10" s="32"/>
      <c r="AM10" s="32"/>
      <c r="AN10" s="32"/>
      <c r="AO10" s="32"/>
      <c r="AP10" s="32"/>
    </row>
    <row r="11" spans="1:42">
      <c r="A11" s="32"/>
      <c r="B11" s="48" t="s">
        <v>27</v>
      </c>
      <c r="C11" s="2"/>
      <c r="D11" s="3">
        <v>630500</v>
      </c>
      <c r="E11" s="3">
        <v>682878</v>
      </c>
      <c r="F11" s="3">
        <v>906588</v>
      </c>
      <c r="G11" s="3">
        <v>1414660</v>
      </c>
      <c r="H11" s="3">
        <v>1720943</v>
      </c>
      <c r="I11" s="3">
        <v>2066315</v>
      </c>
      <c r="J11" s="3">
        <v>2099850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 spans="1:42">
      <c r="A12" s="32"/>
      <c r="B12" s="49" t="s">
        <v>28</v>
      </c>
      <c r="C12" s="50"/>
      <c r="D12" s="51">
        <v>-230231</v>
      </c>
      <c r="E12" s="51">
        <v>-258667</v>
      </c>
      <c r="F12" s="51">
        <v>-352941</v>
      </c>
      <c r="G12" s="51">
        <v>-574483</v>
      </c>
      <c r="H12" s="51">
        <v>-708621</v>
      </c>
      <c r="I12" s="51">
        <v>-846795</v>
      </c>
      <c r="J12" s="51">
        <v>-747182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 spans="1:42" s="10" customFormat="1">
      <c r="A13" s="53"/>
      <c r="B13" s="52" t="s">
        <v>29</v>
      </c>
      <c r="C13" s="8"/>
      <c r="D13" s="9">
        <f>D11+D12</f>
        <v>400269</v>
      </c>
      <c r="E13" s="9">
        <f>E11+E12</f>
        <v>424211</v>
      </c>
      <c r="F13" s="9">
        <f>F11+F12</f>
        <v>553647</v>
      </c>
      <c r="G13" s="9">
        <f>G11+G12</f>
        <v>840177</v>
      </c>
      <c r="H13" s="9">
        <f>H11+H12</f>
        <v>1012322</v>
      </c>
      <c r="I13" s="9">
        <f>I11+I12</f>
        <v>1219520</v>
      </c>
      <c r="J13" s="9">
        <f>J11+J12</f>
        <v>1352668</v>
      </c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</row>
    <row r="14" spans="1:42">
      <c r="A14" s="32"/>
      <c r="B14" s="48" t="s">
        <v>30</v>
      </c>
      <c r="C14" s="2"/>
      <c r="D14" s="3">
        <v>203666</v>
      </c>
      <c r="E14" s="3">
        <v>230759</v>
      </c>
      <c r="F14" s="3">
        <v>240780</v>
      </c>
      <c r="G14" s="3">
        <v>320988</v>
      </c>
      <c r="H14" s="3">
        <v>394298</v>
      </c>
      <c r="I14" s="3">
        <v>354492</v>
      </c>
      <c r="J14" s="3">
        <v>322516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 spans="1:42">
      <c r="A15" s="32"/>
      <c r="B15" s="48" t="s">
        <v>31</v>
      </c>
      <c r="C15" s="2"/>
      <c r="D15" s="3">
        <v>-54938</v>
      </c>
      <c r="E15" s="3">
        <v>-38850</v>
      </c>
      <c r="F15" s="3">
        <v>12533</v>
      </c>
      <c r="G15" s="3">
        <v>22674</v>
      </c>
      <c r="H15" s="3">
        <v>26561</v>
      </c>
      <c r="I15" s="3">
        <v>-31224</v>
      </c>
      <c r="J15" s="3">
        <v>121234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:42">
      <c r="A16" s="32"/>
      <c r="B16" s="48" t="s">
        <v>32</v>
      </c>
      <c r="C16" s="2"/>
      <c r="D16" s="3">
        <v>4600</v>
      </c>
      <c r="E16" s="3">
        <v>-2349</v>
      </c>
      <c r="F16" s="3">
        <v>-2591</v>
      </c>
      <c r="G16" s="3">
        <v>0</v>
      </c>
      <c r="H16" s="3">
        <v>-2420</v>
      </c>
      <c r="I16" s="3">
        <v>-4860</v>
      </c>
      <c r="J16" s="3">
        <v>0</v>
      </c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</row>
    <row r="17" spans="1:34">
      <c r="A17" s="32"/>
      <c r="B17" s="48" t="s">
        <v>33</v>
      </c>
      <c r="C17" s="2"/>
      <c r="D17" s="3">
        <v>-27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spans="1:34">
      <c r="A18" s="32"/>
      <c r="B18" s="48" t="s">
        <v>34</v>
      </c>
      <c r="C18" s="2"/>
      <c r="D18" s="3">
        <v>-176417</v>
      </c>
      <c r="E18" s="3">
        <v>-186812</v>
      </c>
      <c r="F18" s="3">
        <v>-264104</v>
      </c>
      <c r="G18" s="3">
        <v>-266606</v>
      </c>
      <c r="H18" s="3">
        <v>-333344</v>
      </c>
      <c r="I18" s="3">
        <v>-371054</v>
      </c>
      <c r="J18" s="3">
        <v>-440031</v>
      </c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spans="1:34">
      <c r="A19" s="11"/>
      <c r="B19" s="54" t="s">
        <v>35</v>
      </c>
      <c r="C19" s="50"/>
      <c r="D19" s="55">
        <f>D13+SUM(D14,D15,D16,D17,D18)</f>
        <v>377153</v>
      </c>
      <c r="E19" s="55">
        <f>E13+SUM(E14,E15,E16,E17,E18)</f>
        <v>426959</v>
      </c>
      <c r="F19" s="55">
        <f>F13+SUM(F14,F15,F16,F17,F18)</f>
        <v>540265</v>
      </c>
      <c r="G19" s="55">
        <f>G13+SUM(G14,G15,G16,G17,G18)</f>
        <v>917233</v>
      </c>
      <c r="H19" s="55">
        <f>H13+SUM(H14,H15,H16,H17,H18)</f>
        <v>1097417</v>
      </c>
      <c r="I19" s="55">
        <f>I13+SUM(I14,I15,I16,I17,I18)</f>
        <v>1166874</v>
      </c>
      <c r="J19" s="55">
        <f>J13+SUM(J14,J15,J16,J17,J18)</f>
        <v>1356387</v>
      </c>
      <c r="K19" s="11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spans="1:34">
      <c r="A20" s="32"/>
      <c r="B20" s="48" t="s">
        <v>36</v>
      </c>
      <c r="C20" s="2"/>
      <c r="D20" s="3">
        <v>54706</v>
      </c>
      <c r="E20" s="3">
        <v>55115</v>
      </c>
      <c r="F20" s="3">
        <v>61261</v>
      </c>
      <c r="G20" s="3">
        <v>72638</v>
      </c>
      <c r="H20" s="3">
        <v>83875</v>
      </c>
      <c r="I20" s="3">
        <v>97641</v>
      </c>
      <c r="J20" s="3">
        <v>154347</v>
      </c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spans="1:34">
      <c r="A21" s="32"/>
      <c r="B21" s="48" t="s">
        <v>37</v>
      </c>
      <c r="C21" s="2"/>
      <c r="D21" s="3">
        <v>161914</v>
      </c>
      <c r="E21" s="3">
        <v>186877</v>
      </c>
      <c r="F21" s="3">
        <v>196289</v>
      </c>
      <c r="G21" s="3">
        <v>243404</v>
      </c>
      <c r="H21" s="3">
        <v>255294</v>
      </c>
      <c r="I21" s="3">
        <v>273469</v>
      </c>
      <c r="J21" s="3">
        <v>263955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spans="1:34">
      <c r="A22" s="32"/>
      <c r="B22" s="48" t="s">
        <v>38</v>
      </c>
      <c r="C22" s="2"/>
      <c r="D22" s="3">
        <v>0</v>
      </c>
      <c r="E22" s="3">
        <v>0</v>
      </c>
      <c r="F22" s="3">
        <v>0</v>
      </c>
      <c r="G22" s="3">
        <v>-3404</v>
      </c>
      <c r="H22" s="3">
        <v>-16435</v>
      </c>
      <c r="I22" s="3">
        <v>-43116</v>
      </c>
      <c r="J22" s="3">
        <v>-67823</v>
      </c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spans="1:34">
      <c r="A23" s="32"/>
      <c r="B23" s="52" t="s">
        <v>39</v>
      </c>
      <c r="C23" s="8"/>
      <c r="D23" s="9">
        <f>D19+D22</f>
        <v>377153</v>
      </c>
      <c r="E23" s="9">
        <f>E19+E22</f>
        <v>426959</v>
      </c>
      <c r="F23" s="9">
        <f>F19+F22</f>
        <v>540265</v>
      </c>
      <c r="G23" s="9">
        <f>G19+G22</f>
        <v>913829</v>
      </c>
      <c r="H23" s="9">
        <f>H19+H22</f>
        <v>1080982</v>
      </c>
      <c r="I23" s="9">
        <f>I19+I22</f>
        <v>1123758</v>
      </c>
      <c r="J23" s="9">
        <f>J19+J22</f>
        <v>1288564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spans="1:34">
      <c r="A24" s="32"/>
      <c r="B24" s="49" t="s">
        <v>40</v>
      </c>
      <c r="C24" s="50"/>
      <c r="D24" s="51">
        <v>-112564</v>
      </c>
      <c r="E24" s="51">
        <v>-102305</v>
      </c>
      <c r="F24" s="51">
        <v>-125166</v>
      </c>
      <c r="G24" s="51">
        <v>-206165</v>
      </c>
      <c r="H24" s="51">
        <v>-264969</v>
      </c>
      <c r="I24" s="51">
        <v>-280484</v>
      </c>
      <c r="J24" s="51">
        <v>-285650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spans="1:34">
      <c r="A25" s="32"/>
      <c r="B25" s="56" t="s">
        <v>41</v>
      </c>
      <c r="C25" s="54"/>
      <c r="D25" s="55">
        <f>D23+D24</f>
        <v>264589</v>
      </c>
      <c r="E25" s="55">
        <f>E23+E24</f>
        <v>324654</v>
      </c>
      <c r="F25" s="55">
        <f>F23+F24</f>
        <v>415099</v>
      </c>
      <c r="G25" s="55">
        <f>G23+G24</f>
        <v>707664</v>
      </c>
      <c r="H25" s="55">
        <f>H23+H24</f>
        <v>816013</v>
      </c>
      <c r="I25" s="55">
        <f>I23+I24</f>
        <v>843274</v>
      </c>
      <c r="J25" s="55">
        <f>J23+J24</f>
        <v>1002914</v>
      </c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spans="1:34">
      <c r="A26" s="32"/>
      <c r="B26" s="48" t="s">
        <v>42</v>
      </c>
      <c r="C26" s="2"/>
      <c r="D26" s="13">
        <f>D25/D28</f>
        <v>1.0382064884717404</v>
      </c>
      <c r="E26" s="13">
        <f>E25/E28</f>
        <v>1.2738922982750773</v>
      </c>
      <c r="F26" s="13">
        <f>F25/F28</f>
        <v>1.6287845494640025</v>
      </c>
      <c r="G26" s="13">
        <f>G25/G28</f>
        <v>2.7767645535448024</v>
      </c>
      <c r="H26" s="13">
        <f>H25/H28</f>
        <v>3.2019093434620878</v>
      </c>
      <c r="I26" s="13">
        <f>I25/I28</f>
        <v>3.308877309183369</v>
      </c>
      <c r="J26" s="13">
        <f>J25/J28</f>
        <v>3.9352800841272582</v>
      </c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spans="1:34">
      <c r="A27" s="32"/>
      <c r="B27" s="48" t="s">
        <v>43</v>
      </c>
      <c r="C27" s="2"/>
      <c r="D27" s="13">
        <v>0.7</v>
      </c>
      <c r="E27" s="13">
        <v>0.7</v>
      </c>
      <c r="F27" s="13">
        <v>1.6</v>
      </c>
      <c r="G27" s="13">
        <v>1.7</v>
      </c>
      <c r="H27" s="13">
        <v>1.7</v>
      </c>
      <c r="I27" s="13">
        <v>1.7</v>
      </c>
      <c r="J27" s="13">
        <v>2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spans="1:34">
      <c r="A28" s="32"/>
      <c r="B28" s="48" t="s">
        <v>44</v>
      </c>
      <c r="C28" s="2"/>
      <c r="D28" s="3">
        <v>254852</v>
      </c>
      <c r="E28" s="3">
        <v>254852</v>
      </c>
      <c r="F28" s="3">
        <v>254852</v>
      </c>
      <c r="G28" s="3">
        <v>254852</v>
      </c>
      <c r="H28" s="3">
        <v>254852</v>
      </c>
      <c r="I28" s="3">
        <v>254852</v>
      </c>
      <c r="J28" s="3">
        <v>254852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spans="1:34">
      <c r="A29" s="32"/>
      <c r="B29" s="48"/>
      <c r="C29" s="2"/>
      <c r="D29" s="3"/>
      <c r="E29" s="3"/>
      <c r="F29" s="3"/>
      <c r="G29" s="3"/>
      <c r="H29" s="3"/>
      <c r="I29" s="3"/>
      <c r="J29" s="3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spans="1:34" s="12" customFormat="1" ht="17.25" customHeight="1">
      <c r="A30" s="32"/>
      <c r="B30" s="7" t="s">
        <v>45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4">
      <c r="A31" s="32"/>
      <c r="B31" s="48" t="s">
        <v>46</v>
      </c>
      <c r="C31" s="2"/>
      <c r="D31" s="3">
        <f>D82</f>
        <v>220036</v>
      </c>
      <c r="E31" s="3">
        <f>E82</f>
        <v>6095</v>
      </c>
      <c r="F31" s="3">
        <f>F82</f>
        <v>167636</v>
      </c>
      <c r="G31" s="3">
        <f>G82</f>
        <v>15251</v>
      </c>
      <c r="H31" s="3">
        <f>H82</f>
        <v>117454</v>
      </c>
      <c r="I31" s="3">
        <f>I82</f>
        <v>524882</v>
      </c>
      <c r="J31" s="3">
        <f>J82</f>
        <v>118576</v>
      </c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spans="1:34">
      <c r="A32" s="32"/>
      <c r="B32" s="48" t="s">
        <v>47</v>
      </c>
      <c r="C32" s="2"/>
      <c r="D32" s="3">
        <v>501290</v>
      </c>
      <c r="E32" s="3">
        <v>813641</v>
      </c>
      <c r="F32" s="3">
        <v>813115</v>
      </c>
      <c r="G32" s="3">
        <v>299325</v>
      </c>
      <c r="H32" s="3">
        <v>254658</v>
      </c>
      <c r="I32" s="3">
        <v>399676</v>
      </c>
      <c r="J32" s="3">
        <v>894600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spans="1:11">
      <c r="A33" s="32"/>
      <c r="B33" s="48" t="s">
        <v>48</v>
      </c>
      <c r="C33" s="2"/>
      <c r="D33" s="3">
        <v>174741</v>
      </c>
      <c r="E33" s="3">
        <v>195453</v>
      </c>
      <c r="F33" s="3">
        <v>213297</v>
      </c>
      <c r="G33" s="3">
        <v>367176</v>
      </c>
      <c r="H33" s="3">
        <v>547906</v>
      </c>
      <c r="I33" s="3">
        <v>581108</v>
      </c>
      <c r="J33" s="3">
        <v>640533</v>
      </c>
      <c r="K33" s="32"/>
    </row>
    <row r="34" spans="1:11">
      <c r="A34" s="32"/>
      <c r="B34" s="48" t="s">
        <v>49</v>
      </c>
      <c r="C34" s="2"/>
      <c r="D34" s="3">
        <v>41236</v>
      </c>
      <c r="E34" s="3">
        <v>33863</v>
      </c>
      <c r="F34" s="3">
        <v>39898</v>
      </c>
      <c r="G34" s="3">
        <v>64954</v>
      </c>
      <c r="H34" s="3">
        <v>87190</v>
      </c>
      <c r="I34" s="3">
        <v>140612</v>
      </c>
      <c r="J34" s="3">
        <v>159475</v>
      </c>
      <c r="K34" s="32"/>
    </row>
    <row r="35" spans="1:11">
      <c r="A35" s="32"/>
      <c r="B35" s="48" t="s">
        <v>50</v>
      </c>
      <c r="C35" s="2"/>
      <c r="D35" s="3">
        <v>3427</v>
      </c>
      <c r="E35" s="3">
        <v>7274</v>
      </c>
      <c r="F35" s="3">
        <v>8996</v>
      </c>
      <c r="G35" s="3">
        <v>9071</v>
      </c>
      <c r="H35" s="3">
        <v>13706</v>
      </c>
      <c r="I35" s="3">
        <v>105640</v>
      </c>
      <c r="J35" s="3">
        <v>0</v>
      </c>
      <c r="K35" s="32"/>
    </row>
    <row r="36" spans="1:11">
      <c r="A36" s="32"/>
      <c r="B36" s="48" t="s">
        <v>51</v>
      </c>
      <c r="C36" s="2"/>
      <c r="D36" s="3">
        <v>15625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2"/>
    </row>
    <row r="37" spans="1:11">
      <c r="A37" s="11"/>
      <c r="B37" s="54" t="s">
        <v>52</v>
      </c>
      <c r="C37" s="54"/>
      <c r="D37" s="55">
        <f>SUM(D31,D32,D33,D34,D35,D36)</f>
        <v>956355</v>
      </c>
      <c r="E37" s="55">
        <f>SUM(E31,E32,E33,E34,E35,E36)</f>
        <v>1056326</v>
      </c>
      <c r="F37" s="55">
        <f>SUM(F31,F32,F33,F34,F35,F36)</f>
        <v>1242942</v>
      </c>
      <c r="G37" s="55">
        <f>SUM(G31,G32,G33,G34,G35,G36)</f>
        <v>755777</v>
      </c>
      <c r="H37" s="55">
        <f>SUM(H31,H32,H33,H34,H35,H36)</f>
        <v>1020914</v>
      </c>
      <c r="I37" s="55">
        <f>SUM(I31,I32,I33,I34,I35,I36)</f>
        <v>1751918</v>
      </c>
      <c r="J37" s="55">
        <f>SUM(J31,J32,J33,J34,J35,J36)</f>
        <v>1813184</v>
      </c>
      <c r="K37" s="11"/>
    </row>
    <row r="38" spans="1:11">
      <c r="A38" s="32"/>
      <c r="B38" s="48" t="s">
        <v>53</v>
      </c>
      <c r="C38" s="2"/>
      <c r="D38" s="3">
        <v>919401</v>
      </c>
      <c r="E38" s="3">
        <v>883728</v>
      </c>
      <c r="F38" s="3">
        <v>938139</v>
      </c>
      <c r="G38" s="3">
        <v>994565</v>
      </c>
      <c r="H38" s="3">
        <v>1360091</v>
      </c>
      <c r="I38" s="3">
        <v>1963988</v>
      </c>
      <c r="J38" s="3">
        <v>2221789</v>
      </c>
      <c r="K38" s="32"/>
    </row>
    <row r="39" spans="1:11">
      <c r="A39" s="32"/>
      <c r="B39" s="48" t="s">
        <v>54</v>
      </c>
      <c r="C39" s="2"/>
      <c r="D39" s="3">
        <v>249800</v>
      </c>
      <c r="E39" s="3">
        <v>247451</v>
      </c>
      <c r="F39" s="3">
        <v>244414</v>
      </c>
      <c r="G39" s="3">
        <v>299152</v>
      </c>
      <c r="H39" s="3">
        <v>296732</v>
      </c>
      <c r="I39" s="3">
        <v>145894</v>
      </c>
      <c r="J39" s="3">
        <v>222900</v>
      </c>
      <c r="K39" s="32"/>
    </row>
    <row r="40" spans="1:11">
      <c r="A40" s="32"/>
      <c r="B40" s="48" t="s">
        <v>55</v>
      </c>
      <c r="C40" s="2"/>
      <c r="D40" s="3">
        <v>391</v>
      </c>
      <c r="E40" s="3">
        <v>346</v>
      </c>
      <c r="F40" s="3">
        <v>877</v>
      </c>
      <c r="G40" s="3">
        <v>1528</v>
      </c>
      <c r="H40" s="3">
        <v>912</v>
      </c>
      <c r="I40" s="3">
        <v>1853</v>
      </c>
      <c r="J40" s="3">
        <v>3716</v>
      </c>
      <c r="K40" s="32"/>
    </row>
    <row r="41" spans="1:11">
      <c r="A41" s="32"/>
      <c r="B41" s="48" t="s">
        <v>56</v>
      </c>
      <c r="C41" s="2"/>
      <c r="D41" s="3">
        <v>52961</v>
      </c>
      <c r="E41" s="3">
        <v>52672</v>
      </c>
      <c r="F41" s="3">
        <v>52383</v>
      </c>
      <c r="G41" s="3">
        <v>52094</v>
      </c>
      <c r="H41" s="3">
        <v>51805</v>
      </c>
      <c r="I41" s="3">
        <v>51516</v>
      </c>
      <c r="J41" s="3">
        <v>51227</v>
      </c>
      <c r="K41" s="32"/>
    </row>
    <row r="42" spans="1:11">
      <c r="A42" s="32"/>
      <c r="B42" s="48" t="s">
        <v>57</v>
      </c>
      <c r="C42" s="2"/>
      <c r="D42" s="3">
        <v>1324593</v>
      </c>
      <c r="E42" s="3">
        <v>1387308</v>
      </c>
      <c r="F42" s="3">
        <v>1440469</v>
      </c>
      <c r="G42" s="3">
        <v>2358631</v>
      </c>
      <c r="H42" s="3">
        <v>2382670</v>
      </c>
      <c r="I42" s="3">
        <v>2363154</v>
      </c>
      <c r="J42" s="3">
        <v>2366872</v>
      </c>
      <c r="K42" s="32"/>
    </row>
    <row r="43" spans="1:11" s="11" customFormat="1">
      <c r="B43" s="56" t="s">
        <v>58</v>
      </c>
      <c r="C43" s="54"/>
      <c r="D43" s="55">
        <f>SUM(D38,D39,D40,D41,D42)</f>
        <v>2547146</v>
      </c>
      <c r="E43" s="55">
        <f>SUM(E38,E39,E40,E41,E42)</f>
        <v>2571505</v>
      </c>
      <c r="F43" s="55">
        <f>SUM(F38,F39,F40,F41,F42)</f>
        <v>2676282</v>
      </c>
      <c r="G43" s="55">
        <f>SUM(G38,G39,G40,G41,G42)</f>
        <v>3705970</v>
      </c>
      <c r="H43" s="55">
        <f>SUM(H38,H39,H40,H41,H42)</f>
        <v>4092210</v>
      </c>
      <c r="I43" s="55">
        <f>SUM(I38,I39,I40,I41,I42)</f>
        <v>4526405</v>
      </c>
      <c r="J43" s="55">
        <f>SUM(J38,J39,J40,J41,J42)</f>
        <v>4866504</v>
      </c>
    </row>
    <row r="44" spans="1:11">
      <c r="A44" s="32"/>
      <c r="B44" s="56" t="s">
        <v>59</v>
      </c>
      <c r="C44" s="54"/>
      <c r="D44" s="55">
        <f>D43+D37</f>
        <v>3503501</v>
      </c>
      <c r="E44" s="55">
        <f>E43+E37</f>
        <v>3627831</v>
      </c>
      <c r="F44" s="55">
        <f>F43+F37</f>
        <v>3919224</v>
      </c>
      <c r="G44" s="55">
        <f>G43+G37</f>
        <v>4461747</v>
      </c>
      <c r="H44" s="55">
        <f>H43+H37</f>
        <v>5113124</v>
      </c>
      <c r="I44" s="55">
        <f>I43+I37</f>
        <v>6278323</v>
      </c>
      <c r="J44" s="55">
        <f>J43+J37</f>
        <v>6679688</v>
      </c>
      <c r="K44" s="32"/>
    </row>
    <row r="45" spans="1:11">
      <c r="A45" s="32"/>
      <c r="B45" s="48" t="s">
        <v>60</v>
      </c>
      <c r="C45" s="2"/>
      <c r="D45" s="3">
        <v>106421</v>
      </c>
      <c r="E45" s="3">
        <v>112983</v>
      </c>
      <c r="F45" s="3">
        <v>170906</v>
      </c>
      <c r="G45" s="3">
        <v>275897</v>
      </c>
      <c r="H45" s="3">
        <v>388142</v>
      </c>
      <c r="I45" s="3">
        <v>408883</v>
      </c>
      <c r="J45" s="3">
        <v>257648</v>
      </c>
      <c r="K45" s="32"/>
    </row>
    <row r="46" spans="1:11">
      <c r="A46" s="32"/>
      <c r="B46" s="48" t="s">
        <v>61</v>
      </c>
      <c r="C46" s="2"/>
      <c r="D46" s="3">
        <v>33555</v>
      </c>
      <c r="E46" s="3">
        <v>46712</v>
      </c>
      <c r="F46" s="3">
        <v>45639</v>
      </c>
      <c r="G46" s="3">
        <v>59149</v>
      </c>
      <c r="H46" s="3">
        <v>72167</v>
      </c>
      <c r="I46" s="3">
        <v>84778</v>
      </c>
      <c r="J46" s="3">
        <v>100135</v>
      </c>
      <c r="K46" s="32"/>
    </row>
    <row r="47" spans="1:11">
      <c r="A47" s="32"/>
      <c r="B47" s="48" t="s">
        <v>62</v>
      </c>
      <c r="C47" s="2"/>
      <c r="D47" s="3">
        <v>27981</v>
      </c>
      <c r="E47" s="3">
        <v>23599</v>
      </c>
      <c r="F47" s="3">
        <v>32813</v>
      </c>
      <c r="G47" s="3">
        <v>74636</v>
      </c>
      <c r="H47" s="3">
        <v>0</v>
      </c>
      <c r="I47" s="3">
        <v>0</v>
      </c>
      <c r="J47" s="3">
        <v>12003</v>
      </c>
      <c r="K47" s="32"/>
    </row>
    <row r="48" spans="1:11">
      <c r="A48" s="32"/>
      <c r="B48" s="48" t="s">
        <v>63</v>
      </c>
      <c r="C48" s="2"/>
      <c r="D48" s="3">
        <v>0</v>
      </c>
      <c r="E48" s="3">
        <v>0</v>
      </c>
      <c r="F48" s="3">
        <v>0</v>
      </c>
      <c r="G48" s="3">
        <v>47838</v>
      </c>
      <c r="H48" s="3">
        <v>68841</v>
      </c>
      <c r="I48" s="3">
        <v>177080</v>
      </c>
      <c r="J48" s="3">
        <v>276719</v>
      </c>
      <c r="K48" s="32"/>
    </row>
    <row r="49" spans="2:37">
      <c r="B49" s="56" t="s">
        <v>64</v>
      </c>
      <c r="C49" s="54"/>
      <c r="D49" s="55">
        <f>SUM(D45:D48)</f>
        <v>167957</v>
      </c>
      <c r="E49" s="55">
        <f>SUM(E45:E48)</f>
        <v>183294</v>
      </c>
      <c r="F49" s="55">
        <f>SUM(F45:F48)</f>
        <v>249358</v>
      </c>
      <c r="G49" s="55">
        <f>SUM(G45:G48)</f>
        <v>457520</v>
      </c>
      <c r="H49" s="55">
        <f>SUM(H45:H48)</f>
        <v>529150</v>
      </c>
      <c r="I49" s="55">
        <f>SUM(I45:I48)</f>
        <v>670741</v>
      </c>
      <c r="J49" s="55">
        <f>SUM(J45:J48)</f>
        <v>646505</v>
      </c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spans="2:37">
      <c r="B50" s="48" t="s">
        <v>65</v>
      </c>
      <c r="C50" s="2"/>
      <c r="D50" s="3">
        <v>0</v>
      </c>
      <c r="E50" s="3">
        <v>0</v>
      </c>
      <c r="F50" s="3">
        <v>0</v>
      </c>
      <c r="G50" s="3">
        <v>40197</v>
      </c>
      <c r="H50" s="3">
        <v>205491</v>
      </c>
      <c r="I50" s="3">
        <v>655496</v>
      </c>
      <c r="J50" s="3">
        <v>500554</v>
      </c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spans="2:37">
      <c r="B51" s="48" t="s">
        <v>66</v>
      </c>
      <c r="C51" s="2"/>
      <c r="D51" s="3">
        <v>208052</v>
      </c>
      <c r="E51" s="3">
        <v>192441</v>
      </c>
      <c r="F51" s="3">
        <v>181067</v>
      </c>
      <c r="G51" s="3">
        <v>175330</v>
      </c>
      <c r="H51" s="3">
        <v>216581</v>
      </c>
      <c r="I51" s="3">
        <v>380158</v>
      </c>
      <c r="J51" s="3">
        <v>391035</v>
      </c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spans="2:37">
      <c r="B52" s="56" t="s">
        <v>67</v>
      </c>
      <c r="C52" s="54"/>
      <c r="D52" s="55">
        <f>D51+D50</f>
        <v>208052</v>
      </c>
      <c r="E52" s="55">
        <f>E51+E50</f>
        <v>192441</v>
      </c>
      <c r="F52" s="55">
        <f>F51+F50</f>
        <v>181067</v>
      </c>
      <c r="G52" s="55">
        <f>G51+G50</f>
        <v>215527</v>
      </c>
      <c r="H52" s="55">
        <f>H51+H50</f>
        <v>422072</v>
      </c>
      <c r="I52" s="55">
        <f>I51+I50</f>
        <v>1035654</v>
      </c>
      <c r="J52" s="55">
        <f>J51+J50</f>
        <v>891589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spans="2:37">
      <c r="B53" s="56" t="s">
        <v>68</v>
      </c>
      <c r="C53" s="54"/>
      <c r="D53" s="55">
        <f>D49+D52</f>
        <v>376009</v>
      </c>
      <c r="E53" s="55">
        <f>E49+E52</f>
        <v>375735</v>
      </c>
      <c r="F53" s="55">
        <f>F49+F52</f>
        <v>430425</v>
      </c>
      <c r="G53" s="55">
        <f>G49+G52</f>
        <v>673047</v>
      </c>
      <c r="H53" s="55">
        <f>H49+H52</f>
        <v>951222</v>
      </c>
      <c r="I53" s="55">
        <f>I49+I52</f>
        <v>1706395</v>
      </c>
      <c r="J53" s="55">
        <f>J49+J52</f>
        <v>1538094</v>
      </c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spans="2:37" s="12" customFormat="1" ht="10.5" customHeight="1">
      <c r="B54" s="48" t="s">
        <v>69</v>
      </c>
      <c r="C54" s="2"/>
      <c r="D54" s="3">
        <v>254852</v>
      </c>
      <c r="E54" s="3">
        <v>254852</v>
      </c>
      <c r="F54" s="3">
        <v>254852</v>
      </c>
      <c r="G54" s="3">
        <v>254852</v>
      </c>
      <c r="H54" s="3">
        <v>254852</v>
      </c>
      <c r="I54" s="3">
        <v>254852</v>
      </c>
      <c r="J54" s="3">
        <v>254852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spans="2:37">
      <c r="B55" s="48" t="s">
        <v>70</v>
      </c>
      <c r="C55" s="2"/>
      <c r="D55" s="3">
        <v>27</v>
      </c>
      <c r="E55" s="3">
        <v>27</v>
      </c>
      <c r="F55" s="3">
        <v>27</v>
      </c>
      <c r="G55" s="3">
        <v>27</v>
      </c>
      <c r="H55" s="3">
        <v>27</v>
      </c>
      <c r="I55" s="3">
        <v>27</v>
      </c>
      <c r="J55" s="3">
        <v>27</v>
      </c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spans="2:37">
      <c r="B56" s="48" t="s">
        <v>71</v>
      </c>
      <c r="C56" s="2"/>
      <c r="D56" s="3">
        <v>143324</v>
      </c>
      <c r="E56" s="3">
        <v>121670</v>
      </c>
      <c r="F56" s="3">
        <v>57938</v>
      </c>
      <c r="G56" s="3">
        <v>42477</v>
      </c>
      <c r="H56" s="3">
        <v>32914</v>
      </c>
      <c r="I56" s="3">
        <v>10798</v>
      </c>
      <c r="J56" s="3">
        <v>0</v>
      </c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spans="2:37">
      <c r="B57" s="48" t="s">
        <v>72</v>
      </c>
      <c r="C57" s="2"/>
      <c r="D57" s="3">
        <v>2729289</v>
      </c>
      <c r="E57" s="3">
        <v>2875547</v>
      </c>
      <c r="F57" s="3">
        <v>3175982</v>
      </c>
      <c r="G57" s="3">
        <v>3491344</v>
      </c>
      <c r="H57" s="3">
        <v>3874109</v>
      </c>
      <c r="I57" s="3">
        <v>4306251</v>
      </c>
      <c r="J57" s="3">
        <v>4886715</v>
      </c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spans="2:37">
      <c r="B58" s="57" t="s">
        <v>73</v>
      </c>
      <c r="C58" s="58"/>
      <c r="D58" s="59">
        <f>D54+D55+D56+D57</f>
        <v>3127492</v>
      </c>
      <c r="E58" s="59">
        <f>E54+E55+E56+E57</f>
        <v>3252096</v>
      </c>
      <c r="F58" s="59">
        <f>F54+F55+F56+F57</f>
        <v>3488799</v>
      </c>
      <c r="G58" s="59">
        <f>G54+G55+G56+G57</f>
        <v>3788700</v>
      </c>
      <c r="H58" s="59">
        <f>H54+H55+H56+H57</f>
        <v>4161902</v>
      </c>
      <c r="I58" s="59">
        <f>I54+I55+I56+I57</f>
        <v>4571928</v>
      </c>
      <c r="J58" s="59">
        <f>J54+J55+J56+J57</f>
        <v>5141594</v>
      </c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spans="2:37">
      <c r="B59" s="60" t="s">
        <v>74</v>
      </c>
      <c r="C59" s="61"/>
      <c r="D59" s="62">
        <f>D58+D53</f>
        <v>3503501</v>
      </c>
      <c r="E59" s="62">
        <f>E58+E53</f>
        <v>3627831</v>
      </c>
      <c r="F59" s="62">
        <f>F58+F53</f>
        <v>3919224</v>
      </c>
      <c r="G59" s="62">
        <f>G58+G53</f>
        <v>4461747</v>
      </c>
      <c r="H59" s="62">
        <f>H58+H53</f>
        <v>5113124</v>
      </c>
      <c r="I59" s="62">
        <f>I58+I53</f>
        <v>6278323</v>
      </c>
      <c r="J59" s="62">
        <f>J58+J53</f>
        <v>6679688</v>
      </c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spans="2:37">
      <c r="B60" s="48"/>
      <c r="C60" s="2"/>
      <c r="D60" s="3"/>
      <c r="E60" s="3"/>
      <c r="F60" s="3"/>
      <c r="G60" s="3"/>
      <c r="H60" s="3"/>
      <c r="I60" s="3"/>
      <c r="J60" s="3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spans="2:37" s="12" customFormat="1" ht="17.25" customHeight="1">
      <c r="B61" s="7" t="s">
        <v>75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32"/>
      <c r="AJ61" s="7"/>
      <c r="AK61" s="7"/>
    </row>
    <row r="62" spans="2:37">
      <c r="B62" s="52" t="s">
        <v>41</v>
      </c>
      <c r="C62" s="8"/>
      <c r="D62" s="9">
        <f>D25</f>
        <v>264589</v>
      </c>
      <c r="E62" s="9">
        <f>E25</f>
        <v>324654</v>
      </c>
      <c r="F62" s="9">
        <f>F25</f>
        <v>415099</v>
      </c>
      <c r="G62" s="9">
        <f>G25</f>
        <v>707664</v>
      </c>
      <c r="H62" s="9">
        <f>H25</f>
        <v>816013</v>
      </c>
      <c r="I62" s="9">
        <f>I25</f>
        <v>843274</v>
      </c>
      <c r="J62" s="9">
        <f>J25</f>
        <v>1002914</v>
      </c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spans="2:37">
      <c r="B63" s="48" t="s">
        <v>36</v>
      </c>
      <c r="C63" s="2"/>
      <c r="D63" s="3">
        <f>D20</f>
        <v>54706</v>
      </c>
      <c r="E63" s="3">
        <f>E20</f>
        <v>55115</v>
      </c>
      <c r="F63" s="3">
        <f>F20</f>
        <v>61261</v>
      </c>
      <c r="G63" s="3">
        <f>G20</f>
        <v>72638</v>
      </c>
      <c r="H63" s="3">
        <f>H20</f>
        <v>83875</v>
      </c>
      <c r="I63" s="3">
        <f>I20</f>
        <v>97641</v>
      </c>
      <c r="J63" s="3">
        <f>J20</f>
        <v>154347</v>
      </c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spans="2:37">
      <c r="B64" s="56" t="s">
        <v>76</v>
      </c>
      <c r="C64" s="54"/>
      <c r="D64" s="55">
        <v>299281</v>
      </c>
      <c r="E64" s="55">
        <v>319674</v>
      </c>
      <c r="F64" s="55">
        <v>420512</v>
      </c>
      <c r="G64" s="55">
        <v>632782</v>
      </c>
      <c r="H64" s="55">
        <v>799208</v>
      </c>
      <c r="I64" s="55">
        <v>909527</v>
      </c>
      <c r="J64" s="55">
        <v>881169</v>
      </c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spans="2:10">
      <c r="B65" s="48" t="s">
        <v>77</v>
      </c>
      <c r="C65" s="2"/>
      <c r="D65" s="3">
        <v>161914</v>
      </c>
      <c r="E65" s="3">
        <v>186877</v>
      </c>
      <c r="F65" s="3">
        <v>196289</v>
      </c>
      <c r="G65" s="3">
        <v>243404</v>
      </c>
      <c r="H65" s="3">
        <v>255294</v>
      </c>
      <c r="I65" s="3">
        <v>273469</v>
      </c>
      <c r="J65" s="3">
        <v>263955</v>
      </c>
    </row>
    <row r="66" spans="2:10">
      <c r="B66" s="48" t="s">
        <v>78</v>
      </c>
      <c r="C66" s="2"/>
      <c r="D66" s="3">
        <v>0</v>
      </c>
      <c r="E66" s="3">
        <v>0</v>
      </c>
      <c r="F66" s="3">
        <v>0</v>
      </c>
      <c r="G66" s="3">
        <v>0</v>
      </c>
      <c r="H66" s="3">
        <v>-16435</v>
      </c>
      <c r="I66" s="3">
        <v>-43116</v>
      </c>
      <c r="J66" s="3">
        <v>-67823</v>
      </c>
    </row>
    <row r="67" spans="2:10">
      <c r="B67" s="48" t="s">
        <v>79</v>
      </c>
      <c r="C67" s="2"/>
      <c r="D67" s="3">
        <v>-49791</v>
      </c>
      <c r="E67" s="3">
        <v>-116865</v>
      </c>
      <c r="F67" s="3">
        <v>-129048</v>
      </c>
      <c r="G67" s="3">
        <v>-170154</v>
      </c>
      <c r="H67" s="3">
        <v>-298904</v>
      </c>
      <c r="I67" s="3">
        <v>-208839</v>
      </c>
      <c r="J67" s="3">
        <v>-157128</v>
      </c>
    </row>
    <row r="68" spans="2:10">
      <c r="B68" s="56" t="s">
        <v>80</v>
      </c>
      <c r="C68" s="54"/>
      <c r="D68" s="55">
        <f>SUM(D64,D65,D66,D67)</f>
        <v>411404</v>
      </c>
      <c r="E68" s="55">
        <f>SUM(E64,E65,E66,E67)</f>
        <v>389686</v>
      </c>
      <c r="F68" s="55">
        <f>SUM(F64,F65,F66,F67)</f>
        <v>487753</v>
      </c>
      <c r="G68" s="55">
        <f>SUM(G64,G65,G66,G67)</f>
        <v>706032</v>
      </c>
      <c r="H68" s="55">
        <f>SUM(H64,H65,H66,H67)</f>
        <v>739163</v>
      </c>
      <c r="I68" s="55">
        <f>SUM(I64,I65,I66,I67)</f>
        <v>931041</v>
      </c>
      <c r="J68" s="55">
        <f>SUM(J64,J65,J66,J67)</f>
        <v>920173</v>
      </c>
    </row>
    <row r="69" spans="2:10">
      <c r="B69" s="48" t="s">
        <v>81</v>
      </c>
      <c r="C69" s="2"/>
      <c r="D69" s="3">
        <v>-37687</v>
      </c>
      <c r="E69" s="3">
        <v>-49857</v>
      </c>
      <c r="F69" s="3">
        <v>-125589</v>
      </c>
      <c r="G69" s="3">
        <v>-179959</v>
      </c>
      <c r="H69" s="3">
        <v>-471582</v>
      </c>
      <c r="I69" s="3">
        <v>-705615</v>
      </c>
      <c r="J69" s="3">
        <v>-426911</v>
      </c>
    </row>
    <row r="70" spans="2:10">
      <c r="B70" s="48" t="s">
        <v>82</v>
      </c>
      <c r="C70" s="2"/>
      <c r="D70" s="3">
        <v>0</v>
      </c>
      <c r="E70" s="3">
        <v>-194</v>
      </c>
      <c r="F70" s="3">
        <v>-752</v>
      </c>
      <c r="G70" s="3">
        <v>-1267</v>
      </c>
      <c r="H70" s="3">
        <v>0</v>
      </c>
      <c r="I70" s="3">
        <v>-1212</v>
      </c>
      <c r="J70" s="3">
        <v>-3224</v>
      </c>
    </row>
    <row r="71" spans="2:10">
      <c r="B71" s="48" t="s">
        <v>83</v>
      </c>
      <c r="C71" s="2"/>
      <c r="D71" s="3">
        <v>0</v>
      </c>
      <c r="E71" s="3">
        <v>0</v>
      </c>
      <c r="F71" s="3">
        <v>446</v>
      </c>
      <c r="G71" s="3">
        <v>-2938</v>
      </c>
      <c r="H71" s="3">
        <v>0</v>
      </c>
      <c r="I71" s="3">
        <f>168473-5022</f>
        <v>163451</v>
      </c>
      <c r="J71" s="3">
        <v>-77006</v>
      </c>
    </row>
    <row r="72" spans="2:10">
      <c r="B72" s="48" t="s">
        <v>84</v>
      </c>
      <c r="C72" s="2"/>
      <c r="D72" s="3">
        <v>6746</v>
      </c>
      <c r="E72" s="3">
        <v>38</v>
      </c>
      <c r="F72" s="3">
        <v>8340</v>
      </c>
      <c r="G72" s="3"/>
      <c r="H72" s="3">
        <v>9017</v>
      </c>
      <c r="I72" s="3">
        <v>8771</v>
      </c>
      <c r="J72" s="3">
        <v>15833</v>
      </c>
    </row>
    <row r="73" spans="2:10">
      <c r="B73" s="48" t="s">
        <v>85</v>
      </c>
      <c r="C73" s="2"/>
      <c r="D73" s="3">
        <v>-45315</v>
      </c>
      <c r="E73" s="3">
        <v>-398291</v>
      </c>
      <c r="F73" s="3">
        <f>531-220102</f>
        <v>-219571</v>
      </c>
      <c r="G73" s="3">
        <v>-381698</v>
      </c>
      <c r="H73" s="3">
        <v>47189</v>
      </c>
      <c r="I73" s="3">
        <v>-156728</v>
      </c>
      <c r="J73" s="3">
        <v>-377408</v>
      </c>
    </row>
    <row r="74" spans="2:10">
      <c r="B74" s="48" t="s">
        <v>86</v>
      </c>
      <c r="C74" s="2"/>
      <c r="D74" s="3">
        <v>15305</v>
      </c>
      <c r="E74" s="3">
        <v>9916</v>
      </c>
      <c r="F74" s="3">
        <v>10914</v>
      </c>
      <c r="G74" s="3">
        <v>13663</v>
      </c>
      <c r="H74" s="3">
        <v>12349</v>
      </c>
      <c r="I74" s="3">
        <v>30113</v>
      </c>
      <c r="J74" s="3">
        <v>15431</v>
      </c>
    </row>
    <row r="75" spans="2:10">
      <c r="B75" s="56" t="s">
        <v>87</v>
      </c>
      <c r="C75" s="54"/>
      <c r="D75" s="55">
        <f>SUM(D69,D70,D71,D73,D74,D72)</f>
        <v>-60951</v>
      </c>
      <c r="E75" s="55">
        <f>SUM(E69,E70,E71,E73,E74,E72)</f>
        <v>-438388</v>
      </c>
      <c r="F75" s="55">
        <f>SUM(F69,F70,F71,F73,F74,F72)</f>
        <v>-326212</v>
      </c>
      <c r="G75" s="55">
        <f>SUM(G69,G70,G71,G73,G74,G72)</f>
        <v>-552199</v>
      </c>
      <c r="H75" s="55">
        <f>SUM(H69,H70,H71,H73,H74,H72)</f>
        <v>-403027</v>
      </c>
      <c r="I75" s="55">
        <f>SUM(I69,I70,I71,I73,I74,I72)</f>
        <v>-661220</v>
      </c>
      <c r="J75" s="55">
        <f>SUM(J69,J70,J71,J73,J74,J72)</f>
        <v>-853285</v>
      </c>
    </row>
    <row r="76" spans="2:10">
      <c r="B76" s="48" t="s">
        <v>88</v>
      </c>
      <c r="C76" s="2"/>
      <c r="D76" s="3">
        <v>0</v>
      </c>
      <c r="E76" s="3">
        <v>0</v>
      </c>
      <c r="F76" s="3">
        <v>0</v>
      </c>
      <c r="G76" s="3">
        <v>88035</v>
      </c>
      <c r="H76" s="3">
        <v>186297</v>
      </c>
      <c r="I76" s="3">
        <v>607177</v>
      </c>
      <c r="J76" s="3">
        <v>-51800</v>
      </c>
    </row>
    <row r="77" spans="2:10">
      <c r="B77" s="48" t="s">
        <v>89</v>
      </c>
      <c r="C77" s="2"/>
      <c r="D77" s="3">
        <v>-173233</v>
      </c>
      <c r="E77" s="3">
        <v>-165239</v>
      </c>
      <c r="F77" s="3">
        <v>-185665</v>
      </c>
      <c r="G77" s="3">
        <v>-394253</v>
      </c>
      <c r="H77" s="3">
        <v>-420230</v>
      </c>
      <c r="I77" s="3">
        <v>-420637</v>
      </c>
      <c r="J77" s="3">
        <v>-417891</v>
      </c>
    </row>
    <row r="78" spans="2:10">
      <c r="B78" s="56" t="s">
        <v>90</v>
      </c>
      <c r="C78" s="54"/>
      <c r="D78" s="55">
        <f>D76+D77</f>
        <v>-173233</v>
      </c>
      <c r="E78" s="55">
        <f>E76+E77</f>
        <v>-165239</v>
      </c>
      <c r="F78" s="55">
        <f>F76+F77</f>
        <v>-185665</v>
      </c>
      <c r="G78" s="55">
        <f>G76+G77</f>
        <v>-306218</v>
      </c>
      <c r="H78" s="55">
        <f>H76+H77</f>
        <v>-233933</v>
      </c>
      <c r="I78" s="55">
        <f>I76+I77</f>
        <v>186540</v>
      </c>
      <c r="J78" s="55">
        <f>J76+J77</f>
        <v>-469691</v>
      </c>
    </row>
    <row r="79" spans="2:10">
      <c r="B79" s="48" t="s">
        <v>91</v>
      </c>
      <c r="C79" s="2"/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-48933</v>
      </c>
      <c r="J79" s="3">
        <v>-3503</v>
      </c>
    </row>
    <row r="80" spans="2:10">
      <c r="B80" s="48" t="s">
        <v>92</v>
      </c>
      <c r="C80" s="2"/>
      <c r="D80" s="3">
        <f>D68+D75+D78+D79</f>
        <v>177220</v>
      </c>
      <c r="E80" s="3">
        <f>E68+E75+E78</f>
        <v>-213941</v>
      </c>
      <c r="F80" s="3">
        <f>F68+F75</f>
        <v>161541</v>
      </c>
      <c r="G80" s="3">
        <f>G68+G75+G78</f>
        <v>-152385</v>
      </c>
      <c r="H80" s="3">
        <f>H68+H75+H78</f>
        <v>102203</v>
      </c>
      <c r="I80" s="3">
        <f>I68+I75+I78+I79</f>
        <v>407428</v>
      </c>
      <c r="J80" s="3">
        <f>J68+J75+J78+J79</f>
        <v>-406306</v>
      </c>
    </row>
    <row r="81" spans="2:10">
      <c r="B81" s="48" t="s">
        <v>93</v>
      </c>
      <c r="C81" s="2"/>
      <c r="D81" s="3">
        <v>42816</v>
      </c>
      <c r="E81" s="3">
        <f>D82</f>
        <v>220036</v>
      </c>
      <c r="F81" s="3">
        <f>E82</f>
        <v>6095</v>
      </c>
      <c r="G81" s="3">
        <f>F82</f>
        <v>167636</v>
      </c>
      <c r="H81" s="3">
        <f>G82</f>
        <v>15251</v>
      </c>
      <c r="I81" s="3">
        <f>H82</f>
        <v>117454</v>
      </c>
      <c r="J81" s="3">
        <f>I82</f>
        <v>524882</v>
      </c>
    </row>
    <row r="82" spans="2:10">
      <c r="B82" s="60" t="s">
        <v>94</v>
      </c>
      <c r="C82" s="61"/>
      <c r="D82" s="62">
        <f>D80+D81</f>
        <v>220036</v>
      </c>
      <c r="E82" s="62">
        <f>E80+E81</f>
        <v>6095</v>
      </c>
      <c r="F82" s="62">
        <f>F80+F81</f>
        <v>167636</v>
      </c>
      <c r="G82" s="62">
        <f>G80+G81</f>
        <v>15251</v>
      </c>
      <c r="H82" s="62">
        <f>H80+H81</f>
        <v>117454</v>
      </c>
      <c r="I82" s="62">
        <f>I80+I81</f>
        <v>524882</v>
      </c>
      <c r="J82" s="62">
        <f>J80+J81</f>
        <v>118576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AP361"/>
  <sheetViews>
    <sheetView showGridLines="0" tabSelected="1" zoomScaleNormal="100" zoomScaleSheetLayoutView="100" workbookViewId="0">
      <selection sqref="A1:AP1"/>
    </sheetView>
  </sheetViews>
  <sheetFormatPr defaultRowHeight="15"/>
  <cols>
    <col min="1" max="1" width="3" customWidth="1"/>
    <col min="2" max="2" width="34" customWidth="1"/>
    <col min="3" max="3" width="14.5703125" customWidth="1"/>
    <col min="4" max="4" width="13.5703125" customWidth="1"/>
    <col min="5" max="15" width="12" customWidth="1"/>
    <col min="16" max="16" width="2" customWidth="1"/>
    <col min="17" max="25" width="18" customWidth="1"/>
  </cols>
  <sheetData>
    <row r="1" spans="1:42" ht="30" customHeight="1">
      <c r="A1" s="11"/>
      <c r="B1" s="111" t="s">
        <v>0</v>
      </c>
      <c r="C1" s="112"/>
      <c r="D1" s="113"/>
      <c r="E1" s="114"/>
      <c r="F1" s="114"/>
      <c r="G1" s="114"/>
      <c r="H1" s="115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6"/>
      <c r="V1" s="116"/>
      <c r="W1" s="116"/>
      <c r="X1" s="116"/>
      <c r="Y1" s="116"/>
      <c r="Z1" s="114"/>
      <c r="AA1" s="117"/>
      <c r="AB1" s="118"/>
      <c r="AC1" s="118"/>
      <c r="AD1" s="118"/>
      <c r="AE1" s="118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>
      <c r="A2" s="81"/>
      <c r="B2" s="107" t="s">
        <v>95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81"/>
      <c r="Q2" s="81"/>
      <c r="R2" s="81"/>
      <c r="S2" s="81"/>
      <c r="T2" s="81"/>
      <c r="U2" s="81"/>
      <c r="V2" s="81"/>
      <c r="W2" s="81"/>
      <c r="X2" s="81"/>
      <c r="Y2" s="81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</row>
    <row r="4" spans="1:42">
      <c r="A4" s="81"/>
      <c r="B4" s="80" t="s">
        <v>96</v>
      </c>
      <c r="C4" s="81" t="s">
        <v>97</v>
      </c>
      <c r="D4" s="81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81"/>
      <c r="Q4" s="81"/>
      <c r="R4" s="81"/>
      <c r="S4" s="81"/>
      <c r="T4" s="81"/>
      <c r="U4" s="81"/>
      <c r="V4" s="81"/>
      <c r="W4" s="81"/>
      <c r="X4" s="81"/>
      <c r="Y4" s="81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</row>
    <row r="5" spans="1:42">
      <c r="A5" s="81"/>
      <c r="B5" s="80" t="s">
        <v>98</v>
      </c>
      <c r="C5" s="81" t="s">
        <v>4</v>
      </c>
      <c r="D5" s="81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81"/>
      <c r="Q5" s="81"/>
      <c r="R5" s="81"/>
      <c r="S5" s="81"/>
      <c r="T5" s="81"/>
      <c r="U5" s="81"/>
      <c r="V5" s="81"/>
      <c r="W5" s="81"/>
      <c r="X5" s="81"/>
      <c r="Y5" s="81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</row>
    <row r="6" spans="1:42">
      <c r="A6" s="81"/>
      <c r="B6" s="80" t="s">
        <v>99</v>
      </c>
      <c r="C6" s="81" t="s">
        <v>100</v>
      </c>
      <c r="D6" s="81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81"/>
      <c r="Q6" s="81"/>
      <c r="R6" s="81"/>
      <c r="S6" s="81"/>
      <c r="T6" s="81"/>
      <c r="U6" s="81"/>
      <c r="V6" s="81"/>
      <c r="W6" s="81"/>
      <c r="X6" s="81"/>
      <c r="Y6" s="81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</row>
    <row r="7" spans="1:42">
      <c r="A7" s="81"/>
      <c r="B7" s="80" t="s">
        <v>101</v>
      </c>
      <c r="C7" s="19">
        <f>Assumptions_Log!D4</f>
        <v>33.1</v>
      </c>
      <c r="D7" s="81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81"/>
      <c r="Q7" s="81"/>
      <c r="R7" s="81"/>
      <c r="S7" s="81"/>
      <c r="T7" s="81"/>
      <c r="U7" s="81"/>
      <c r="V7" s="81"/>
      <c r="W7" s="81"/>
      <c r="X7" s="81"/>
      <c r="Y7" s="81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</row>
    <row r="8" spans="1:42">
      <c r="A8" s="81"/>
      <c r="B8" s="80" t="s">
        <v>102</v>
      </c>
      <c r="C8" s="20">
        <f>C200</f>
        <v>32.855508583537329</v>
      </c>
      <c r="D8" s="81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81"/>
      <c r="Q8" s="81"/>
      <c r="R8" s="81"/>
      <c r="S8" s="81"/>
      <c r="T8" s="81"/>
      <c r="U8" s="81"/>
      <c r="V8" s="81"/>
      <c r="W8" s="81"/>
      <c r="X8" s="81"/>
      <c r="Y8" s="81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</row>
    <row r="9" spans="1:42">
      <c r="A9" s="81"/>
      <c r="B9" s="80" t="s">
        <v>103</v>
      </c>
      <c r="C9" s="21">
        <f>C8/C7-1</f>
        <v>-7.3864476272710311E-3</v>
      </c>
      <c r="D9" s="81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81"/>
      <c r="Q9" s="81"/>
      <c r="R9" s="81"/>
      <c r="S9" s="81"/>
      <c r="T9" s="81"/>
      <c r="U9" s="81"/>
      <c r="V9" s="81"/>
      <c r="W9" s="81"/>
      <c r="X9" s="81"/>
      <c r="Y9" s="81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</row>
    <row r="10" spans="1:42">
      <c r="A10" s="81"/>
      <c r="B10" s="80" t="s">
        <v>104</v>
      </c>
      <c r="C10" s="18" t="str">
        <f>C203</f>
        <v>HOLD</v>
      </c>
      <c r="D10" s="81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</row>
    <row r="11" spans="1:42">
      <c r="A11" s="81"/>
      <c r="B11" s="80" t="s">
        <v>105</v>
      </c>
      <c r="C11" s="22">
        <f>C7*C12</f>
        <v>8435.601200000001</v>
      </c>
      <c r="D11" s="81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</row>
    <row r="12" spans="1:42">
      <c r="A12" s="81"/>
      <c r="B12" s="80" t="s">
        <v>106</v>
      </c>
      <c r="C12" s="81">
        <f>Assumptions_Log!D6</f>
        <v>254.852</v>
      </c>
      <c r="D12" s="81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</row>
    <row r="13" spans="1:42">
      <c r="A13" s="81"/>
      <c r="B13" s="80" t="s">
        <v>107</v>
      </c>
      <c r="C13" s="16">
        <v>46205</v>
      </c>
      <c r="D13" s="81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</row>
    <row r="14" spans="1:42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</row>
    <row r="15" spans="1:42">
      <c r="A15" s="81"/>
      <c r="B15" s="84"/>
      <c r="C15" s="84" t="s">
        <v>108</v>
      </c>
      <c r="D15" s="63" t="s">
        <v>109</v>
      </c>
      <c r="E15" s="63" t="s">
        <v>110</v>
      </c>
      <c r="F15" s="63" t="s">
        <v>111</v>
      </c>
      <c r="G15" s="63" t="s">
        <v>112</v>
      </c>
      <c r="H15" s="63" t="s">
        <v>113</v>
      </c>
      <c r="I15" s="63" t="s">
        <v>114</v>
      </c>
      <c r="J15" s="63" t="s">
        <v>115</v>
      </c>
      <c r="K15" s="84" t="s">
        <v>116</v>
      </c>
      <c r="L15" s="84" t="s">
        <v>117</v>
      </c>
      <c r="M15" s="84" t="s">
        <v>118</v>
      </c>
      <c r="N15" s="84" t="s">
        <v>119</v>
      </c>
      <c r="O15" s="84" t="s">
        <v>120</v>
      </c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</row>
    <row r="16" spans="1:42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2"/>
      <c r="L16" s="82"/>
      <c r="M16" s="82"/>
      <c r="N16" s="82"/>
      <c r="O16" s="82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</row>
    <row r="17" spans="1:25" ht="20.100000000000001" customHeight="1">
      <c r="A17" s="81"/>
      <c r="B17" s="102" t="s">
        <v>121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2"/>
      <c r="L18" s="82"/>
      <c r="M18" s="82"/>
      <c r="N18" s="82"/>
      <c r="O18" s="82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>
      <c r="A19" s="81"/>
      <c r="B19" s="81" t="s">
        <v>122</v>
      </c>
      <c r="C19" s="81" t="s">
        <v>123</v>
      </c>
      <c r="D19" s="14" t="s">
        <v>124</v>
      </c>
      <c r="E19" s="14" t="s">
        <v>124</v>
      </c>
      <c r="F19" s="14" t="s">
        <v>124</v>
      </c>
      <c r="G19" s="14" t="s">
        <v>124</v>
      </c>
      <c r="H19" s="14" t="s">
        <v>124</v>
      </c>
      <c r="I19" s="14" t="s">
        <v>124</v>
      </c>
      <c r="J19" s="14" t="s">
        <v>124</v>
      </c>
      <c r="K19" s="64">
        <f>Assumptions_Log!G$24</f>
        <v>3.5000000000000003E-2</v>
      </c>
      <c r="L19" s="64">
        <f>Assumptions_Log!H$24</f>
        <v>0.04</v>
      </c>
      <c r="M19" s="64">
        <f>Assumptions_Log!I$24</f>
        <v>4.4999999999999998E-2</v>
      </c>
      <c r="N19" s="64">
        <f>Assumptions_Log!J$24</f>
        <v>4.4999999999999998E-2</v>
      </c>
      <c r="O19" s="64">
        <f>Assumptions_Log!K$24</f>
        <v>0.04</v>
      </c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>
      <c r="A20" s="81"/>
      <c r="B20" s="81" t="s">
        <v>125</v>
      </c>
      <c r="C20" s="81" t="s">
        <v>123</v>
      </c>
      <c r="D20" s="14" t="s">
        <v>124</v>
      </c>
      <c r="E20" s="14" t="s">
        <v>124</v>
      </c>
      <c r="F20" s="14" t="s">
        <v>124</v>
      </c>
      <c r="G20" s="14" t="s">
        <v>124</v>
      </c>
      <c r="H20" s="14" t="s">
        <v>124</v>
      </c>
      <c r="I20" s="14" t="s">
        <v>124</v>
      </c>
      <c r="J20" s="14" t="s">
        <v>124</v>
      </c>
      <c r="K20" s="64">
        <f>Assumptions_Log!G$25</f>
        <v>1.4999999999999999E-2</v>
      </c>
      <c r="L20" s="64">
        <f>Assumptions_Log!H$25</f>
        <v>1.4999999999999999E-2</v>
      </c>
      <c r="M20" s="64">
        <f>Assumptions_Log!I$25</f>
        <v>1.4999999999999999E-2</v>
      </c>
      <c r="N20" s="64">
        <f>Assumptions_Log!J$25</f>
        <v>1.4999999999999999E-2</v>
      </c>
      <c r="O20" s="64">
        <f>Assumptions_Log!K$25</f>
        <v>1.4999999999999999E-2</v>
      </c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>
      <c r="A21" s="81"/>
      <c r="B21" s="81" t="s">
        <v>126</v>
      </c>
      <c r="C21" s="81" t="s">
        <v>123</v>
      </c>
      <c r="D21" s="14" t="s">
        <v>124</v>
      </c>
      <c r="E21" s="14" t="s">
        <v>124</v>
      </c>
      <c r="F21" s="14" t="s">
        <v>124</v>
      </c>
      <c r="G21" s="14" t="s">
        <v>124</v>
      </c>
      <c r="H21" s="14" t="s">
        <v>124</v>
      </c>
      <c r="I21" s="14" t="s">
        <v>124</v>
      </c>
      <c r="J21" s="14" t="s">
        <v>124</v>
      </c>
      <c r="K21" s="64">
        <f>Assumptions_Log!G$26</f>
        <v>7.0000000000000007E-2</v>
      </c>
      <c r="L21" s="64">
        <f>Assumptions_Log!H$26</f>
        <v>0.06</v>
      </c>
      <c r="M21" s="64">
        <f>Assumptions_Log!I$26</f>
        <v>5.5E-2</v>
      </c>
      <c r="N21" s="64">
        <f>Assumptions_Log!J$26</f>
        <v>0.05</v>
      </c>
      <c r="O21" s="64">
        <f>Assumptions_Log!K$26</f>
        <v>4.4999999999999998E-2</v>
      </c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>
      <c r="A22" s="81"/>
      <c r="B22" s="81" t="s">
        <v>127</v>
      </c>
      <c r="C22" s="81" t="s">
        <v>123</v>
      </c>
      <c r="D22" s="14" t="s">
        <v>124</v>
      </c>
      <c r="E22" s="14" t="s">
        <v>124</v>
      </c>
      <c r="F22" s="14" t="s">
        <v>124</v>
      </c>
      <c r="G22" s="14" t="s">
        <v>124</v>
      </c>
      <c r="H22" s="14" t="s">
        <v>124</v>
      </c>
      <c r="I22" s="14" t="s">
        <v>124</v>
      </c>
      <c r="J22" s="14" t="s">
        <v>124</v>
      </c>
      <c r="K22" s="64">
        <f>Assumptions_Log!G$27</f>
        <v>0</v>
      </c>
      <c r="L22" s="64">
        <f>Assumptions_Log!H$27</f>
        <v>0</v>
      </c>
      <c r="M22" s="64">
        <f>Assumptions_Log!I$27</f>
        <v>0</v>
      </c>
      <c r="N22" s="64">
        <f>Assumptions_Log!J$27</f>
        <v>0</v>
      </c>
      <c r="O22" s="64">
        <f>Assumptions_Log!K$27</f>
        <v>0</v>
      </c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>
      <c r="A23" s="81"/>
      <c r="B23" s="81" t="s">
        <v>128</v>
      </c>
      <c r="C23" s="81" t="s">
        <v>123</v>
      </c>
      <c r="D23" s="14">
        <f>IFERROR(-D51/D50,"")</f>
        <v>0.36515622521808089</v>
      </c>
      <c r="E23" s="14">
        <f>IFERROR(-E51/E50,"")</f>
        <v>0.37878947630469856</v>
      </c>
      <c r="F23" s="14">
        <f>IFERROR(-F51/F50,"")</f>
        <v>0.38930693986684139</v>
      </c>
      <c r="G23" s="14">
        <f>IFERROR(-G51/G50,"")</f>
        <v>0.40609263003124418</v>
      </c>
      <c r="H23" s="14">
        <f>IFERROR(-H51/H50,"")</f>
        <v>0.41176320191894794</v>
      </c>
      <c r="I23" s="14">
        <f>IFERROR(-I51/I50,"")</f>
        <v>0.4098092497997643</v>
      </c>
      <c r="J23" s="14">
        <f>IFERROR(-J51/J50,"")</f>
        <v>0.35582636855013455</v>
      </c>
      <c r="K23" s="64">
        <f>Assumptions_Log!G$28</f>
        <v>0.36</v>
      </c>
      <c r="L23" s="64">
        <f>Assumptions_Log!H$28</f>
        <v>0.37</v>
      </c>
      <c r="M23" s="64">
        <f>Assumptions_Log!I$28</f>
        <v>0.375</v>
      </c>
      <c r="N23" s="64">
        <f>Assumptions_Log!J$28</f>
        <v>0.38</v>
      </c>
      <c r="O23" s="64">
        <f>Assumptions_Log!K$28</f>
        <v>0.38</v>
      </c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>
      <c r="A24" s="81"/>
      <c r="B24" s="81" t="s">
        <v>129</v>
      </c>
      <c r="C24" s="81" t="s">
        <v>123</v>
      </c>
      <c r="D24" s="14">
        <f>IFERROR(D53,"")</f>
        <v>0.63484377478191911</v>
      </c>
      <c r="E24" s="14">
        <f>IFERROR(E53,"")</f>
        <v>0.62121052369530139</v>
      </c>
      <c r="F24" s="14">
        <f>IFERROR(F53,"")</f>
        <v>0.61069306013315872</v>
      </c>
      <c r="G24" s="14">
        <f>IFERROR(G53,"")</f>
        <v>0.59390736996875571</v>
      </c>
      <c r="H24" s="14">
        <f>IFERROR(H53,"")</f>
        <v>0.58823679808105211</v>
      </c>
      <c r="I24" s="14">
        <f>IFERROR(I53,"")</f>
        <v>0.5901907502002357</v>
      </c>
      <c r="J24" s="14">
        <f>IFERROR(J53,"")</f>
        <v>0.64417363144986539</v>
      </c>
      <c r="K24" s="64">
        <f>1-Assumptions_Log!G$28</f>
        <v>0.64</v>
      </c>
      <c r="L24" s="64">
        <f>1-Assumptions_Log!H$28</f>
        <v>0.63</v>
      </c>
      <c r="M24" s="64">
        <f>1-Assumptions_Log!I$28</f>
        <v>0.625</v>
      </c>
      <c r="N24" s="64">
        <f>1-Assumptions_Log!J$28</f>
        <v>0.62</v>
      </c>
      <c r="O24" s="64">
        <f>1-Assumptions_Log!K$28</f>
        <v>0.62</v>
      </c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>
      <c r="A25" s="81"/>
      <c r="B25" s="81" t="s">
        <v>130</v>
      </c>
      <c r="C25" s="81" t="s">
        <v>123</v>
      </c>
      <c r="D25" s="14">
        <f>IFERROR(-D54/D50,"")</f>
        <v>0.27980491673275176</v>
      </c>
      <c r="E25" s="14">
        <f>IFERROR(-E54/E50,"")</f>
        <v>0.2735657028048934</v>
      </c>
      <c r="F25" s="14">
        <f>IFERROR(-F54/F50,"")</f>
        <v>0.29131645245690435</v>
      </c>
      <c r="G25" s="14">
        <f>IFERROR(-G54/G50,"")</f>
        <v>0.18845941781063999</v>
      </c>
      <c r="H25" s="14">
        <f>IFERROR(-H54/H50,"")</f>
        <v>0.19369845485876058</v>
      </c>
      <c r="I25" s="14">
        <f>IFERROR(-I54/I50,"")</f>
        <v>0.17957281440632236</v>
      </c>
      <c r="J25" s="14">
        <f>IFERROR(-J54/J50,"")</f>
        <v>0.20955353953853847</v>
      </c>
      <c r="K25" s="64">
        <f>Assumptions_Log!G$29</f>
        <v>0.21</v>
      </c>
      <c r="L25" s="64">
        <f>Assumptions_Log!H$29</f>
        <v>0.20799999999999999</v>
      </c>
      <c r="M25" s="64">
        <f>Assumptions_Log!I$29</f>
        <v>0.20499999999999999</v>
      </c>
      <c r="N25" s="64">
        <f>Assumptions_Log!J$29</f>
        <v>0.20300000000000001</v>
      </c>
      <c r="O25" s="64">
        <f>Assumptions_Log!K$29</f>
        <v>0.2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>
      <c r="A26" s="81"/>
      <c r="B26" s="81" t="s">
        <v>131</v>
      </c>
      <c r="C26" s="81" t="s">
        <v>123</v>
      </c>
      <c r="D26" s="14">
        <f>IFERROR(D57/AVERAGE(D93,D93),"")</f>
        <v>5.9501784313917436E-2</v>
      </c>
      <c r="E26" s="14">
        <f>IFERROR(E57/AVERAGE(D93,E93),"")</f>
        <v>6.1132620017758023E-2</v>
      </c>
      <c r="F26" s="14">
        <f>IFERROR(F57/AVERAGE(E93,F93),"")</f>
        <v>6.725079273075367E-2</v>
      </c>
      <c r="G26" s="14">
        <f>IFERROR(G57/AVERAGE(F93,G93),"")</f>
        <v>7.5167226849015681E-2</v>
      </c>
      <c r="H26" s="14">
        <f>IFERROR(H57/AVERAGE(G93,H93),"")</f>
        <v>7.1241828955057554E-2</v>
      </c>
      <c r="I26" s="14">
        <f>IFERROR(I57/AVERAGE(H93,I93),"")</f>
        <v>5.8747701242960838E-2</v>
      </c>
      <c r="J26" s="14">
        <f>IFERROR(J57/AVERAGE(I93,J93),"")</f>
        <v>7.3748314829003084E-2</v>
      </c>
      <c r="K26" s="64">
        <f>Assumptions_Log!G$30</f>
        <v>7.0000000000000007E-2</v>
      </c>
      <c r="L26" s="64">
        <f>Assumptions_Log!H$30</f>
        <v>7.0000000000000007E-2</v>
      </c>
      <c r="M26" s="64">
        <f>Assumptions_Log!I$30</f>
        <v>7.0000000000000007E-2</v>
      </c>
      <c r="N26" s="64">
        <f>Assumptions_Log!J$30</f>
        <v>6.8000000000000005E-2</v>
      </c>
      <c r="O26" s="64">
        <f>Assumptions_Log!K$30</f>
        <v>6.8000000000000005E-2</v>
      </c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>
      <c r="A27" s="81"/>
      <c r="B27" s="81" t="s">
        <v>132</v>
      </c>
      <c r="C27" s="81" t="s">
        <v>123</v>
      </c>
      <c r="D27" s="14">
        <f>IFERROR(D123/D50,"")</f>
        <v>5.9773195876288654E-2</v>
      </c>
      <c r="E27" s="14">
        <f>IFERROR(E123/E50,"")</f>
        <v>7.329420482135901E-2</v>
      </c>
      <c r="F27" s="14">
        <f>IFERROR(F123/F50,"")</f>
        <v>0.13935878260025503</v>
      </c>
      <c r="G27" s="14">
        <f>IFERROR(G123/G50,"")</f>
        <v>0.1281056932407787</v>
      </c>
      <c r="H27" s="14">
        <f>IFERROR(H123/H50,"")</f>
        <v>0.2740253454065591</v>
      </c>
      <c r="I27" s="14">
        <f>IFERROR(I123/I50,"")</f>
        <v>0.34207127180512165</v>
      </c>
      <c r="J27" s="14">
        <f>IFERROR(J123/J50,"")</f>
        <v>0.20484082196347358</v>
      </c>
      <c r="K27" s="64">
        <f>Assumptions_Log!G$31</f>
        <v>0.18</v>
      </c>
      <c r="L27" s="64">
        <f>Assumptions_Log!H$31</f>
        <v>0.1</v>
      </c>
      <c r="M27" s="64">
        <f>Assumptions_Log!I$31</f>
        <v>0.09</v>
      </c>
      <c r="N27" s="64">
        <f>Assumptions_Log!J$31</f>
        <v>0.08</v>
      </c>
      <c r="O27" s="64">
        <f>Assumptions_Log!K$31</f>
        <v>0.08</v>
      </c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>
      <c r="A28" s="81"/>
      <c r="B28" s="81" t="s">
        <v>133</v>
      </c>
      <c r="C28" s="81" t="s">
        <v>134</v>
      </c>
      <c r="D28" s="23">
        <f>IFERROR(D89/D50*365,"")</f>
        <v>101.15854877081682</v>
      </c>
      <c r="E28" s="23">
        <f>IFERROR(E89/E50*365,"")</f>
        <v>104.47011764912619</v>
      </c>
      <c r="F28" s="23">
        <f>IFERROR(F89/F50*365,"")</f>
        <v>85.875177037419419</v>
      </c>
      <c r="G28" s="23">
        <f>IFERROR(G89/G50*365,"")</f>
        <v>94.736007238488398</v>
      </c>
      <c r="H28" s="23">
        <f>IFERROR(H89/H50*365,"")</f>
        <v>116.20703881534716</v>
      </c>
      <c r="I28" s="23">
        <f>IFERROR(I89/I50*365,"")</f>
        <v>102.64863779239852</v>
      </c>
      <c r="J28" s="23">
        <f>IFERROR(J89/J50*365,"")</f>
        <v>111.33868847774842</v>
      </c>
      <c r="K28" s="65">
        <f>Assumptions_Log!G$32</f>
        <v>112</v>
      </c>
      <c r="L28" s="65">
        <f>Assumptions_Log!H$32</f>
        <v>110</v>
      </c>
      <c r="M28" s="65">
        <f>Assumptions_Log!I$32</f>
        <v>108</v>
      </c>
      <c r="N28" s="65">
        <f>Assumptions_Log!J$32</f>
        <v>106</v>
      </c>
      <c r="O28" s="65">
        <f>Assumptions_Log!K$32</f>
        <v>105</v>
      </c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>
      <c r="A29" s="81"/>
      <c r="B29" s="81" t="s">
        <v>135</v>
      </c>
      <c r="C29" s="81" t="s">
        <v>134</v>
      </c>
      <c r="D29" s="23">
        <f>IFERROR(D90/(-D51)*365,"")</f>
        <v>65.374080814486319</v>
      </c>
      <c r="E29" s="23">
        <f>IFERROR(E90/(-E51)*365,"")</f>
        <v>47.783424248164629</v>
      </c>
      <c r="F29" s="23">
        <f>IFERROR(F90/(-F51)*365,"")</f>
        <v>41.261202297267822</v>
      </c>
      <c r="G29" s="23">
        <f>IFERROR(G90/(-G51)*365,"")</f>
        <v>41.268775577345195</v>
      </c>
      <c r="H29" s="23">
        <f>IFERROR(H90/(-H51)*365,"")</f>
        <v>44.910255270447813</v>
      </c>
      <c r="I29" s="23">
        <f>IFERROR(I90/(-I51)*365,"")</f>
        <v>60.608978560336325</v>
      </c>
      <c r="J29" s="23">
        <f>IFERROR(J90/(-J51)*365,"")</f>
        <v>77.903877502402352</v>
      </c>
      <c r="K29" s="65">
        <f>Assumptions_Log!G$33</f>
        <v>75</v>
      </c>
      <c r="L29" s="65">
        <f>Assumptions_Log!H$33</f>
        <v>75</v>
      </c>
      <c r="M29" s="65">
        <f>Assumptions_Log!I$33</f>
        <v>74</v>
      </c>
      <c r="N29" s="65">
        <f>Assumptions_Log!J$33</f>
        <v>74</v>
      </c>
      <c r="O29" s="65">
        <f>Assumptions_Log!K$33</f>
        <v>73</v>
      </c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>
      <c r="A30" s="81"/>
      <c r="B30" s="81" t="s">
        <v>136</v>
      </c>
      <c r="C30" s="81" t="s">
        <v>134</v>
      </c>
      <c r="D30" s="23">
        <f>IFERROR(D99/(-D51)*365,"")</f>
        <v>168.71605040155322</v>
      </c>
      <c r="E30" s="23">
        <f>IFERROR(E99/(-E51)*365,"")</f>
        <v>159.42812573695139</v>
      </c>
      <c r="F30" s="23">
        <f>IFERROR(F99/(-F51)*365,"")</f>
        <v>176.74537670602172</v>
      </c>
      <c r="G30" s="23">
        <f>IFERROR(G99/(-G51)*365,"")</f>
        <v>175.29222796845164</v>
      </c>
      <c r="H30" s="23">
        <f>IFERROR(H99/(-H51)*365,"")</f>
        <v>199.92609589611374</v>
      </c>
      <c r="I30" s="23">
        <f>IFERROR(I99/(-I51)*365,"")</f>
        <v>176.24371305924103</v>
      </c>
      <c r="J30" s="23">
        <f>IFERROR(J99/(-J51)*365,"")</f>
        <v>125.86159730828635</v>
      </c>
      <c r="K30" s="65">
        <f>Assumptions_Log!G$34</f>
        <v>126</v>
      </c>
      <c r="L30" s="65">
        <f>Assumptions_Log!H$34</f>
        <v>125</v>
      </c>
      <c r="M30" s="65">
        <f>Assumptions_Log!I$34</f>
        <v>124</v>
      </c>
      <c r="N30" s="65">
        <f>Assumptions_Log!J$34</f>
        <v>123</v>
      </c>
      <c r="O30" s="65">
        <f>Assumptions_Log!K$34</f>
        <v>122</v>
      </c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>
      <c r="A31" s="81"/>
      <c r="B31" s="81" t="s">
        <v>137</v>
      </c>
      <c r="C31" s="81" t="s">
        <v>123</v>
      </c>
      <c r="D31" s="14" t="s">
        <v>124</v>
      </c>
      <c r="E31" s="14" t="s">
        <v>124</v>
      </c>
      <c r="F31" s="14" t="s">
        <v>124</v>
      </c>
      <c r="G31" s="14" t="s">
        <v>124</v>
      </c>
      <c r="H31" s="14" t="s">
        <v>124</v>
      </c>
      <c r="I31" s="14" t="s">
        <v>124</v>
      </c>
      <c r="J31" s="14" t="s">
        <v>124</v>
      </c>
      <c r="K31" s="64">
        <f>Assumptions_Log!G$37</f>
        <v>0.03</v>
      </c>
      <c r="L31" s="64">
        <f>Assumptions_Log!H$37</f>
        <v>0.03</v>
      </c>
      <c r="M31" s="64">
        <f>Assumptions_Log!I$37</f>
        <v>0.03</v>
      </c>
      <c r="N31" s="64">
        <f>Assumptions_Log!J$37</f>
        <v>0.03</v>
      </c>
      <c r="O31" s="64">
        <f>Assumptions_Log!K$37</f>
        <v>0.03</v>
      </c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>
      <c r="A32" s="81"/>
      <c r="B32" s="81" t="s">
        <v>138</v>
      </c>
      <c r="C32" s="81" t="s">
        <v>123</v>
      </c>
      <c r="D32" s="14" t="s">
        <v>124</v>
      </c>
      <c r="E32" s="14" t="s">
        <v>124</v>
      </c>
      <c r="F32" s="14" t="s">
        <v>124</v>
      </c>
      <c r="G32" s="14" t="s">
        <v>124</v>
      </c>
      <c r="H32" s="14" t="s">
        <v>124</v>
      </c>
      <c r="I32" s="14" t="s">
        <v>124</v>
      </c>
      <c r="J32" s="14" t="s">
        <v>124</v>
      </c>
      <c r="K32" s="64">
        <f>Assumptions_Log!G$39</f>
        <v>0.08</v>
      </c>
      <c r="L32" s="64">
        <f>Assumptions_Log!H$39</f>
        <v>0.08</v>
      </c>
      <c r="M32" s="64">
        <f>Assumptions_Log!I$39</f>
        <v>0.08</v>
      </c>
      <c r="N32" s="64">
        <f>Assumptions_Log!J$39</f>
        <v>0.08</v>
      </c>
      <c r="O32" s="64">
        <f>Assumptions_Log!K$39</f>
        <v>0.08</v>
      </c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>
      <c r="A33" s="81"/>
      <c r="B33" s="81" t="s">
        <v>139</v>
      </c>
      <c r="C33" s="81" t="s">
        <v>123</v>
      </c>
      <c r="D33" s="14">
        <f>IFERROR(D70/D69,"")</f>
        <v>0.67423966982754391</v>
      </c>
      <c r="E33" s="14">
        <f>IFERROR(E70/E69,"")</f>
        <v>0.54949700296315462</v>
      </c>
      <c r="F33" s="14">
        <f>IFERROR(F70/F69,"")</f>
        <v>0.98232758932206543</v>
      </c>
      <c r="G33" s="14">
        <f>IFERROR(G70/G69,"")</f>
        <v>0.61222331501955729</v>
      </c>
      <c r="H33" s="14">
        <f>IFERROR(H70/H69,"")</f>
        <v>0.53093320817192857</v>
      </c>
      <c r="I33" s="14">
        <f>IFERROR(I70/I69,"")</f>
        <v>0.51376942725614694</v>
      </c>
      <c r="J33" s="14">
        <f>IFERROR(J70/J69,"")</f>
        <v>0.50822303806707259</v>
      </c>
      <c r="K33" s="64">
        <f>Assumptions_Log!G$40</f>
        <v>0.52</v>
      </c>
      <c r="L33" s="64">
        <f>Assumptions_Log!H$40</f>
        <v>0.52</v>
      </c>
      <c r="M33" s="64">
        <f>Assumptions_Log!I$40</f>
        <v>0.52</v>
      </c>
      <c r="N33" s="64">
        <f>Assumptions_Log!J$40</f>
        <v>0.52</v>
      </c>
      <c r="O33" s="64">
        <f>Assumptions_Log!K$40</f>
        <v>0.52</v>
      </c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82"/>
      <c r="M34" s="82"/>
      <c r="N34" s="82"/>
      <c r="O34" s="82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2"/>
      <c r="L35" s="82"/>
      <c r="M35" s="82"/>
      <c r="N35" s="82"/>
      <c r="O35" s="82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 ht="20.100000000000001" customHeight="1">
      <c r="A36" s="81"/>
      <c r="B36" s="102" t="s">
        <v>140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2"/>
      <c r="L37" s="82"/>
      <c r="M37" s="82"/>
      <c r="N37" s="82"/>
      <c r="O37" s="82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>
      <c r="A38" s="81"/>
      <c r="B38" s="81" t="s">
        <v>141</v>
      </c>
      <c r="C38" s="81" t="s">
        <v>142</v>
      </c>
      <c r="D38" s="15">
        <f>Segment_Financials!D6</f>
        <v>485.90699999999998</v>
      </c>
      <c r="E38" s="15">
        <f>Segment_Financials!E6</f>
        <v>536.28599999999994</v>
      </c>
      <c r="F38" s="15">
        <f>Segment_Financials!F6</f>
        <v>662.31100000000004</v>
      </c>
      <c r="G38" s="15">
        <f>Segment_Financials!G6</f>
        <v>954.77099999999996</v>
      </c>
      <c r="H38" s="15">
        <f>Segment_Financials!H6</f>
        <v>1082.4159999999999</v>
      </c>
      <c r="I38" s="15">
        <f>Segment_Financials!I6</f>
        <v>1340.8009999999999</v>
      </c>
      <c r="J38" s="15">
        <f>Segment_Financials!J6</f>
        <v>1314.242</v>
      </c>
      <c r="K38" s="26">
        <f>J38*(1+K19+K20)</f>
        <v>1379.9540999999997</v>
      </c>
      <c r="L38" s="26">
        <f>K38*(1+L19+L20)</f>
        <v>1455.8515754999996</v>
      </c>
      <c r="M38" s="26">
        <f>L38*(1+M19+M20)</f>
        <v>1543.2026700299994</v>
      </c>
      <c r="N38" s="26">
        <f>M38*(1+N19+N20)</f>
        <v>1635.7948302317991</v>
      </c>
      <c r="O38" s="26">
        <f>N38*(1+O19+O20)</f>
        <v>1725.7635458945479</v>
      </c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>
      <c r="A39" s="81"/>
      <c r="B39" s="81" t="s">
        <v>143</v>
      </c>
      <c r="C39" s="81" t="s">
        <v>142</v>
      </c>
      <c r="D39" s="15">
        <f>Segment_Financials!D7</f>
        <v>144.59299999999999</v>
      </c>
      <c r="E39" s="15">
        <f>Segment_Financials!E7</f>
        <v>146.59200000000001</v>
      </c>
      <c r="F39" s="15">
        <f>Segment_Financials!F7</f>
        <v>244.27699999999999</v>
      </c>
      <c r="G39" s="15">
        <f>Segment_Financials!G7</f>
        <v>459.88900000000001</v>
      </c>
      <c r="H39" s="15">
        <f>Segment_Financials!H7</f>
        <v>638.52700000000004</v>
      </c>
      <c r="I39" s="15">
        <f>Segment_Financials!I7</f>
        <v>725.51400000000001</v>
      </c>
      <c r="J39" s="15">
        <f>Segment_Financials!J7</f>
        <v>785.60799999999995</v>
      </c>
      <c r="K39" s="26">
        <f>J39*(1+K21)</f>
        <v>840.60055999999997</v>
      </c>
      <c r="L39" s="26">
        <f>K39*(1+L21)</f>
        <v>891.03659360000006</v>
      </c>
      <c r="M39" s="26">
        <f>L39*(1+M21)</f>
        <v>940.04360624800006</v>
      </c>
      <c r="N39" s="26">
        <f>M39*(1+N21)</f>
        <v>987.04578656040007</v>
      </c>
      <c r="O39" s="26">
        <f>N39*(1+O21)</f>
        <v>1031.462846955618</v>
      </c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>
      <c r="A40" s="81"/>
      <c r="B40" s="81" t="s">
        <v>144</v>
      </c>
      <c r="C40" s="81" t="s">
        <v>142</v>
      </c>
      <c r="D40" s="15">
        <f>Segment_Financials!D8</f>
        <v>0</v>
      </c>
      <c r="E40" s="15">
        <f>Segment_Financials!E8</f>
        <v>0</v>
      </c>
      <c r="F40" s="15">
        <f>Segment_Financials!F8</f>
        <v>0</v>
      </c>
      <c r="G40" s="15">
        <f>Segment_Financials!G8</f>
        <v>0</v>
      </c>
      <c r="H40" s="15">
        <f>Segment_Financials!H8</f>
        <v>0</v>
      </c>
      <c r="I40" s="15">
        <f>Segment_Financials!I8</f>
        <v>0</v>
      </c>
      <c r="J40" s="15">
        <f>Segment_Financials!J8</f>
        <v>0</v>
      </c>
      <c r="K40" s="26">
        <f>J40*(1+K22)</f>
        <v>0</v>
      </c>
      <c r="L40" s="26">
        <f>K40*(1+L22)</f>
        <v>0</v>
      </c>
      <c r="M40" s="26">
        <f>L40*(1+M22)</f>
        <v>0</v>
      </c>
      <c r="N40" s="26">
        <f>M40*(1+N22)</f>
        <v>0</v>
      </c>
      <c r="O40" s="26">
        <f>N40*(1+O22)</f>
        <v>0</v>
      </c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>
      <c r="A41" s="81"/>
      <c r="B41" s="24" t="s">
        <v>145</v>
      </c>
      <c r="C41" s="24" t="s">
        <v>142</v>
      </c>
      <c r="D41" s="25">
        <f>SUM(D38:D40)</f>
        <v>630.5</v>
      </c>
      <c r="E41" s="25">
        <f>SUM(E38:E40)</f>
        <v>682.87799999999993</v>
      </c>
      <c r="F41" s="25">
        <f>SUM(F38:F40)</f>
        <v>906.58799999999997</v>
      </c>
      <c r="G41" s="25">
        <f>SUM(G38:G40)</f>
        <v>1414.6599999999999</v>
      </c>
      <c r="H41" s="25">
        <f>SUM(H38:H40)</f>
        <v>1720.943</v>
      </c>
      <c r="I41" s="25">
        <f>SUM(I38:I40)</f>
        <v>2066.3150000000001</v>
      </c>
      <c r="J41" s="25">
        <f>SUM(J38:J40)</f>
        <v>2099.85</v>
      </c>
      <c r="K41" s="27">
        <f>SUM(K38:K40)</f>
        <v>2220.5546599999998</v>
      </c>
      <c r="L41" s="27">
        <f>SUM(L38:L40)</f>
        <v>2346.8881690999997</v>
      </c>
      <c r="M41" s="27">
        <f>SUM(M38:M40)</f>
        <v>2483.2462762779996</v>
      </c>
      <c r="N41" s="27">
        <f>SUM(N38:N40)</f>
        <v>2622.8406167921994</v>
      </c>
      <c r="O41" s="27">
        <f>SUM(O38:O40)</f>
        <v>2757.2263928501661</v>
      </c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 ht="15.75">
      <c r="A42" s="81"/>
      <c r="B42" s="81" t="s">
        <v>146</v>
      </c>
      <c r="C42" s="81" t="s">
        <v>123</v>
      </c>
      <c r="D42" s="14" t="s">
        <v>124</v>
      </c>
      <c r="E42" s="14">
        <f>IFERROR(E41/D41-1,"")</f>
        <v>8.3073750991276674E-2</v>
      </c>
      <c r="F42" s="14">
        <f>IFERROR(F41/E41-1,"")</f>
        <v>0.32759878045565971</v>
      </c>
      <c r="G42" s="14">
        <f>IFERROR(G41/F41-1,"")</f>
        <v>0.56042215427515019</v>
      </c>
      <c r="H42" s="14">
        <f>IFERROR(H41/G41-1,"")</f>
        <v>0.21650643970989503</v>
      </c>
      <c r="I42" s="79">
        <f>IFERROR(I41/H41-1,"")</f>
        <v>0.20068764624975954</v>
      </c>
      <c r="J42" s="14">
        <f>IFERROR(J41/I41-1,"")</f>
        <v>1.6229374514534323E-2</v>
      </c>
      <c r="K42" s="28">
        <f>IFERROR(K41/J41-1,"")</f>
        <v>5.7482515417767832E-2</v>
      </c>
      <c r="L42" s="28">
        <f>IFERROR(L41/K41-1,"")</f>
        <v>5.6892771601487979E-2</v>
      </c>
      <c r="M42" s="28">
        <f>IFERROR(M41/L41-1,"")</f>
        <v>5.810166371510217E-2</v>
      </c>
      <c r="N42" s="28">
        <f>IFERROR(N41/M41-1,"")</f>
        <v>5.6214456797023749E-2</v>
      </c>
      <c r="O42" s="28">
        <f>IFERROR(O41/N41-1,"")</f>
        <v>5.1236729825514082E-2</v>
      </c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>
      <c r="A43" s="81"/>
      <c r="B43" s="81" t="s">
        <v>147</v>
      </c>
      <c r="C43" s="81" t="s">
        <v>123</v>
      </c>
      <c r="D43" s="14" t="s">
        <v>124</v>
      </c>
      <c r="E43" s="14">
        <f>IFERROR(E38/D38-1,"")</f>
        <v>0.10368033389105324</v>
      </c>
      <c r="F43" s="14">
        <f>IFERROR(F38/E38-1,"")</f>
        <v>0.23499587906452923</v>
      </c>
      <c r="G43" s="14">
        <f>IFERROR(G38/F38-1,"")</f>
        <v>0.44157503046152025</v>
      </c>
      <c r="H43" s="14">
        <f>IFERROR(H38/G38-1,"")</f>
        <v>0.13369174388413563</v>
      </c>
      <c r="I43" s="14">
        <f>IFERROR(I38/H38-1,"")</f>
        <v>0.23871136420747652</v>
      </c>
      <c r="J43" s="14">
        <f>IFERROR(J38/I38-1,"")</f>
        <v>-1.980830861552163E-2</v>
      </c>
      <c r="K43" s="28">
        <f>IFERROR(K38/J38-1,"")</f>
        <v>4.9999999999999822E-2</v>
      </c>
      <c r="L43" s="28">
        <f>IFERROR(L38/K38-1,"")</f>
        <v>5.4999999999999938E-2</v>
      </c>
      <c r="M43" s="28">
        <f>IFERROR(M38/L38-1,"")</f>
        <v>5.9999999999999831E-2</v>
      </c>
      <c r="N43" s="28">
        <f>IFERROR(N38/M38-1,"")</f>
        <v>5.9999999999999831E-2</v>
      </c>
      <c r="O43" s="28">
        <f>IFERROR(O38/N38-1,"")</f>
        <v>5.4999999999999938E-2</v>
      </c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>
      <c r="A44" s="81"/>
      <c r="B44" s="81" t="s">
        <v>148</v>
      </c>
      <c r="C44" s="81" t="s">
        <v>123</v>
      </c>
      <c r="D44" s="14" t="s">
        <v>124</v>
      </c>
      <c r="E44" s="14">
        <f>IFERROR(E39/D39-1,"")</f>
        <v>1.3825012275836546E-2</v>
      </c>
      <c r="F44" s="14">
        <f>IFERROR(F39/E39-1,"")</f>
        <v>0.66637333551626265</v>
      </c>
      <c r="G44" s="14">
        <f>IFERROR(G39/F39-1,"")</f>
        <v>0.88265370869955029</v>
      </c>
      <c r="H44" s="14">
        <f>IFERROR(H39/G39-1,"")</f>
        <v>0.38843720984846342</v>
      </c>
      <c r="I44" s="14">
        <f>IFERROR(I39/H39-1,"")</f>
        <v>0.13623073104191352</v>
      </c>
      <c r="J44" s="14">
        <f>IFERROR(J39/I39-1,"")</f>
        <v>8.2829552565491404E-2</v>
      </c>
      <c r="K44" s="28">
        <f>IFERROR(K39/J39-1,"")</f>
        <v>7.0000000000000062E-2</v>
      </c>
      <c r="L44" s="28">
        <f>IFERROR(L39/K39-1,"")</f>
        <v>6.0000000000000053E-2</v>
      </c>
      <c r="M44" s="28">
        <f>IFERROR(M39/L39-1,"")</f>
        <v>5.4999999999999938E-2</v>
      </c>
      <c r="N44" s="28">
        <f>IFERROR(N39/M39-1,"")</f>
        <v>5.0000000000000044E-2</v>
      </c>
      <c r="O44" s="28">
        <f>IFERROR(O39/N39-1,"")</f>
        <v>4.4999999999999929E-2</v>
      </c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2"/>
      <c r="L45" s="82"/>
      <c r="M45" s="82"/>
      <c r="N45" s="82"/>
      <c r="O45" s="82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2"/>
      <c r="L46" s="82"/>
      <c r="M46" s="82"/>
      <c r="N46" s="82"/>
      <c r="O46" s="82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2"/>
      <c r="L47" s="82"/>
      <c r="M47" s="82"/>
      <c r="N47" s="82"/>
      <c r="O47" s="82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 ht="20.100000000000001" customHeight="1">
      <c r="A48" s="81"/>
      <c r="B48" s="102" t="s">
        <v>149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2"/>
      <c r="L49" s="82"/>
      <c r="M49" s="82"/>
      <c r="N49" s="82"/>
      <c r="O49" s="82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>
      <c r="A50" s="81"/>
      <c r="B50" s="81" t="s">
        <v>27</v>
      </c>
      <c r="C50" s="81" t="s">
        <v>142</v>
      </c>
      <c r="D50" s="15">
        <f>'Historical Financials'!D11/1000</f>
        <v>630.5</v>
      </c>
      <c r="E50" s="15">
        <f>'Historical Financials'!E11/1000</f>
        <v>682.87800000000004</v>
      </c>
      <c r="F50" s="15">
        <f>'Historical Financials'!F11/1000</f>
        <v>906.58799999999997</v>
      </c>
      <c r="G50" s="15">
        <f>'Historical Financials'!G11/1000</f>
        <v>1414.66</v>
      </c>
      <c r="H50" s="15">
        <f>'Historical Financials'!H11/1000</f>
        <v>1720.943</v>
      </c>
      <c r="I50" s="15">
        <f>'Historical Financials'!I11/1000</f>
        <v>2066.3150000000001</v>
      </c>
      <c r="J50" s="15">
        <f>'Historical Financials'!J11/1000</f>
        <v>2099.85</v>
      </c>
      <c r="K50" s="26">
        <f>K41</f>
        <v>2220.5546599999998</v>
      </c>
      <c r="L50" s="26">
        <f>L41</f>
        <v>2346.8881690999997</v>
      </c>
      <c r="M50" s="26">
        <f>M41</f>
        <v>2483.2462762779996</v>
      </c>
      <c r="N50" s="26">
        <f>N41</f>
        <v>2622.8406167921994</v>
      </c>
      <c r="O50" s="26">
        <f>O41</f>
        <v>2757.2263928501661</v>
      </c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>
      <c r="A51" s="81"/>
      <c r="B51" s="81" t="s">
        <v>28</v>
      </c>
      <c r="C51" s="81" t="s">
        <v>142</v>
      </c>
      <c r="D51" s="15">
        <f>'Historical Financials'!D12/1000</f>
        <v>-230.23099999999999</v>
      </c>
      <c r="E51" s="15">
        <f>'Historical Financials'!E12/1000</f>
        <v>-258.66699999999997</v>
      </c>
      <c r="F51" s="15">
        <f>'Historical Financials'!F12/1000</f>
        <v>-352.94099999999997</v>
      </c>
      <c r="G51" s="15">
        <f>'Historical Financials'!G12/1000</f>
        <v>-574.48299999999995</v>
      </c>
      <c r="H51" s="15">
        <f>'Historical Financials'!H12/1000</f>
        <v>-708.62099999999998</v>
      </c>
      <c r="I51" s="15">
        <f>'Historical Financials'!I12/1000</f>
        <v>-846.79499999999996</v>
      </c>
      <c r="J51" s="15">
        <f>'Historical Financials'!J12/1000</f>
        <v>-747.18200000000002</v>
      </c>
      <c r="K51" s="26">
        <f>-K50*K23</f>
        <v>-799.3996775999999</v>
      </c>
      <c r="L51" s="26">
        <f>-L50*L23</f>
        <v>-868.34862256699989</v>
      </c>
      <c r="M51" s="26">
        <f>-M50*M23</f>
        <v>-931.21735360424987</v>
      </c>
      <c r="N51" s="26">
        <f>-N50*N23</f>
        <v>-996.67943438103578</v>
      </c>
      <c r="O51" s="26">
        <f>-O50*O23</f>
        <v>-1047.7460292830631</v>
      </c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>
      <c r="A52" s="81"/>
      <c r="B52" s="24" t="s">
        <v>29</v>
      </c>
      <c r="C52" s="24" t="s">
        <v>142</v>
      </c>
      <c r="D52" s="25">
        <f>'Historical Financials'!D13/1000</f>
        <v>400.26900000000001</v>
      </c>
      <c r="E52" s="25">
        <f>'Historical Financials'!E13/1000</f>
        <v>424.21100000000001</v>
      </c>
      <c r="F52" s="25">
        <f>'Historical Financials'!F13/1000</f>
        <v>553.64700000000005</v>
      </c>
      <c r="G52" s="25">
        <f>'Historical Financials'!G13/1000</f>
        <v>840.17700000000002</v>
      </c>
      <c r="H52" s="25">
        <f>'Historical Financials'!H13/1000</f>
        <v>1012.322</v>
      </c>
      <c r="I52" s="25">
        <f>'Historical Financials'!I13/1000</f>
        <v>1219.52</v>
      </c>
      <c r="J52" s="25">
        <f>'Historical Financials'!J13/1000</f>
        <v>1352.6679999999999</v>
      </c>
      <c r="K52" s="27">
        <f>K50+K51</f>
        <v>1421.1549823999999</v>
      </c>
      <c r="L52" s="27">
        <f>L50+L51</f>
        <v>1478.5395465329998</v>
      </c>
      <c r="M52" s="27">
        <f>M50+M51</f>
        <v>1552.0289226737498</v>
      </c>
      <c r="N52" s="27">
        <f>N50+N51</f>
        <v>1626.1611824111637</v>
      </c>
      <c r="O52" s="27">
        <f>O50+O51</f>
        <v>1709.480363567103</v>
      </c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>
      <c r="A53" s="81"/>
      <c r="B53" s="81" t="s">
        <v>129</v>
      </c>
      <c r="C53" s="81" t="s">
        <v>123</v>
      </c>
      <c r="D53" s="14">
        <f>IFERROR(D52/D50,"")</f>
        <v>0.63484377478191911</v>
      </c>
      <c r="E53" s="14">
        <f>IFERROR(E52/E50,"")</f>
        <v>0.62121052369530139</v>
      </c>
      <c r="F53" s="14">
        <f>IFERROR(F52/F50,"")</f>
        <v>0.61069306013315872</v>
      </c>
      <c r="G53" s="14">
        <f>IFERROR(G52/G50,"")</f>
        <v>0.59390736996875571</v>
      </c>
      <c r="H53" s="14">
        <f>IFERROR(H52/H50,"")</f>
        <v>0.58823679808105211</v>
      </c>
      <c r="I53" s="14">
        <f>IFERROR(I52/I50,"")</f>
        <v>0.5901907502002357</v>
      </c>
      <c r="J53" s="14">
        <f>IFERROR(J52/J50,"")</f>
        <v>0.64417363144986539</v>
      </c>
      <c r="K53" s="28">
        <f>IFERROR(K52/K50,"")</f>
        <v>0.64</v>
      </c>
      <c r="L53" s="28">
        <f>IFERROR(L52/L50,"")</f>
        <v>0.63</v>
      </c>
      <c r="M53" s="28">
        <f>IFERROR(M52/M50,"")</f>
        <v>0.625</v>
      </c>
      <c r="N53" s="28">
        <f>IFERROR(N52/N50,"")</f>
        <v>0.62</v>
      </c>
      <c r="O53" s="28">
        <f>IFERROR(O52/O50,"")</f>
        <v>0.62</v>
      </c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>
      <c r="A54" s="81"/>
      <c r="B54" s="81" t="s">
        <v>34</v>
      </c>
      <c r="C54" s="81" t="s">
        <v>142</v>
      </c>
      <c r="D54" s="15">
        <f>'Historical Financials'!D18/1000</f>
        <v>-176.417</v>
      </c>
      <c r="E54" s="15">
        <f>'Historical Financials'!E18/1000</f>
        <v>-186.81200000000001</v>
      </c>
      <c r="F54" s="15">
        <f>'Historical Financials'!F18/1000</f>
        <v>-264.10399999999998</v>
      </c>
      <c r="G54" s="15">
        <f>'Historical Financials'!G18/1000</f>
        <v>-266.60599999999999</v>
      </c>
      <c r="H54" s="15">
        <f>'Historical Financials'!H18/1000</f>
        <v>-333.34399999999999</v>
      </c>
      <c r="I54" s="15">
        <f>'Historical Financials'!I18/1000</f>
        <v>-371.05399999999997</v>
      </c>
      <c r="J54" s="15">
        <f>'Historical Financials'!J18/1000</f>
        <v>-440.03100000000001</v>
      </c>
      <c r="K54" s="26">
        <f>-K50*K25</f>
        <v>-466.31647859999993</v>
      </c>
      <c r="L54" s="26">
        <f>-L50*L25</f>
        <v>-488.1527391727999</v>
      </c>
      <c r="M54" s="26">
        <f>-M50*M25</f>
        <v>-509.06548663698987</v>
      </c>
      <c r="N54" s="26">
        <f>-N50*N25</f>
        <v>-532.43664520881646</v>
      </c>
      <c r="O54" s="26">
        <f>-O50*O25</f>
        <v>-551.44527857003322</v>
      </c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>
      <c r="A55" s="81"/>
      <c r="B55" s="24" t="s">
        <v>150</v>
      </c>
      <c r="C55" s="24" t="s">
        <v>142</v>
      </c>
      <c r="D55" s="25">
        <f>D52+D54</f>
        <v>223.852</v>
      </c>
      <c r="E55" s="25">
        <f>E52+E54</f>
        <v>237.399</v>
      </c>
      <c r="F55" s="25">
        <f>F52+F54</f>
        <v>289.54300000000006</v>
      </c>
      <c r="G55" s="25">
        <f>G52+G54</f>
        <v>573.57100000000003</v>
      </c>
      <c r="H55" s="25">
        <f>H52+H54</f>
        <v>678.97800000000007</v>
      </c>
      <c r="I55" s="25">
        <f>I52+I54</f>
        <v>848.46600000000001</v>
      </c>
      <c r="J55" s="25">
        <f>J52+J54</f>
        <v>912.63699999999994</v>
      </c>
      <c r="K55" s="27">
        <f>K52+K54</f>
        <v>954.8385037999999</v>
      </c>
      <c r="L55" s="27">
        <f>L52+L54</f>
        <v>990.3868073601999</v>
      </c>
      <c r="M55" s="27">
        <f>M52+M54</f>
        <v>1042.96343603676</v>
      </c>
      <c r="N55" s="27">
        <f>N52+N54</f>
        <v>1093.7245372023472</v>
      </c>
      <c r="O55" s="27">
        <f>O52+O54</f>
        <v>1158.0350849970698</v>
      </c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>
      <c r="A56" s="81"/>
      <c r="B56" s="81" t="s">
        <v>151</v>
      </c>
      <c r="C56" s="81" t="s">
        <v>123</v>
      </c>
      <c r="D56" s="14">
        <f>IFERROR(D55/D50,"")</f>
        <v>0.35503885804916735</v>
      </c>
      <c r="E56" s="14">
        <f>IFERROR(E55/E50,"")</f>
        <v>0.34764482089040794</v>
      </c>
      <c r="F56" s="14">
        <f>IFERROR(F55/F50,"")</f>
        <v>0.31937660767625436</v>
      </c>
      <c r="G56" s="14">
        <f>IFERROR(G55/G50,"")</f>
        <v>0.40544795215811574</v>
      </c>
      <c r="H56" s="14">
        <f>IFERROR(H55/H50,"")</f>
        <v>0.39453834322229153</v>
      </c>
      <c r="I56" s="14">
        <f>IFERROR(I55/I50,"")</f>
        <v>0.41061793579391331</v>
      </c>
      <c r="J56" s="14">
        <f>IFERROR(J55/J50,"")</f>
        <v>0.434620091911327</v>
      </c>
      <c r="K56" s="28">
        <f>IFERROR(K55/K50,"")</f>
        <v>0.43</v>
      </c>
      <c r="L56" s="28">
        <f>IFERROR(L55/L50,"")</f>
        <v>0.42199999999999999</v>
      </c>
      <c r="M56" s="28">
        <f>IFERROR(M55/M50,"")</f>
        <v>0.42000000000000004</v>
      </c>
      <c r="N56" s="28">
        <f>IFERROR(N55/N50,"")</f>
        <v>0.41699999999999998</v>
      </c>
      <c r="O56" s="28">
        <f>IFERROR(O55/O50,"")</f>
        <v>0.42000000000000004</v>
      </c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>
      <c r="A57" s="81"/>
      <c r="B57" s="81" t="s">
        <v>36</v>
      </c>
      <c r="C57" s="81" t="s">
        <v>142</v>
      </c>
      <c r="D57" s="15">
        <f>'Historical Financials'!D20/1000</f>
        <v>54.706000000000003</v>
      </c>
      <c r="E57" s="15">
        <f>'Historical Financials'!E20/1000</f>
        <v>55.115000000000002</v>
      </c>
      <c r="F57" s="15">
        <f>'Historical Financials'!F20/1000</f>
        <v>61.261000000000003</v>
      </c>
      <c r="G57" s="15">
        <f>'Historical Financials'!G20/1000</f>
        <v>72.638000000000005</v>
      </c>
      <c r="H57" s="15">
        <f>'Historical Financials'!H20/1000</f>
        <v>83.875</v>
      </c>
      <c r="I57" s="15">
        <f>'Historical Financials'!I20/1000</f>
        <v>97.641000000000005</v>
      </c>
      <c r="J57" s="15">
        <f>'Historical Financials'!J20/1000</f>
        <v>154.34700000000001</v>
      </c>
      <c r="K57" s="26">
        <f>J93*K26</f>
        <v>155.52523000000002</v>
      </c>
      <c r="L57" s="26">
        <f>K93*L26</f>
        <v>172.61745261600001</v>
      </c>
      <c r="M57" s="26">
        <f>L93*M26</f>
        <v>176.96244811657999</v>
      </c>
      <c r="N57" s="26">
        <f>M93*N26</f>
        <v>175.07039890928587</v>
      </c>
      <c r="O57" s="26">
        <f>N93*O26</f>
        <v>177.43386473880403</v>
      </c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>
      <c r="A58" s="81"/>
      <c r="B58" s="24" t="s">
        <v>152</v>
      </c>
      <c r="C58" s="24" t="s">
        <v>142</v>
      </c>
      <c r="D58" s="25">
        <f>D55+D57</f>
        <v>278.55799999999999</v>
      </c>
      <c r="E58" s="25">
        <f>E55+E57</f>
        <v>292.51400000000001</v>
      </c>
      <c r="F58" s="25">
        <f>F55+F57</f>
        <v>350.80400000000009</v>
      </c>
      <c r="G58" s="25">
        <f>G55+G57</f>
        <v>646.20900000000006</v>
      </c>
      <c r="H58" s="25">
        <f>H55+H57</f>
        <v>762.85300000000007</v>
      </c>
      <c r="I58" s="25">
        <f>I55+I57</f>
        <v>946.10699999999997</v>
      </c>
      <c r="J58" s="25">
        <f>J55+J57</f>
        <v>1066.9839999999999</v>
      </c>
      <c r="K58" s="27">
        <f>K55+K57</f>
        <v>1110.3637337999999</v>
      </c>
      <c r="L58" s="27">
        <f>L55+L57</f>
        <v>1163.0042599761998</v>
      </c>
      <c r="M58" s="27">
        <f>M55+M57</f>
        <v>1219.9258841533399</v>
      </c>
      <c r="N58" s="27">
        <f>N55+N57</f>
        <v>1268.794936111633</v>
      </c>
      <c r="O58" s="27">
        <f>O55+O57</f>
        <v>1335.4689497358738</v>
      </c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>
      <c r="A59" s="81"/>
      <c r="B59" s="81" t="s">
        <v>153</v>
      </c>
      <c r="C59" s="81" t="s">
        <v>123</v>
      </c>
      <c r="D59" s="14">
        <f>IFERROR(D58/D50,"")</f>
        <v>0.4418049167327518</v>
      </c>
      <c r="E59" s="14">
        <f>IFERROR(E58/E50,"")</f>
        <v>0.42835469878953486</v>
      </c>
      <c r="F59" s="14">
        <f>IFERROR(F58/F50,"")</f>
        <v>0.38694975005184284</v>
      </c>
      <c r="G59" s="14">
        <f>IFERROR(G58/G50,"")</f>
        <v>0.4567945654786309</v>
      </c>
      <c r="H59" s="14">
        <f>IFERROR(H58/H50,"")</f>
        <v>0.44327615731607617</v>
      </c>
      <c r="I59" s="14">
        <f>IFERROR(I58/I50,"")</f>
        <v>0.45787162170337048</v>
      </c>
      <c r="J59" s="14">
        <f>IFERROR(J58/J50,"")</f>
        <v>0.50812391361287712</v>
      </c>
      <c r="K59" s="28">
        <f>IFERROR(K58/K50,"")</f>
        <v>0.50003891090886277</v>
      </c>
      <c r="L59" s="28">
        <f>IFERROR(L58/L50,"")</f>
        <v>0.49555163100174321</v>
      </c>
      <c r="M59" s="28">
        <f>IFERROR(M58/M50,"")</f>
        <v>0.49126254443913603</v>
      </c>
      <c r="N59" s="28">
        <f>IFERROR(N58/N50,"")</f>
        <v>0.48374839400779196</v>
      </c>
      <c r="O59" s="28">
        <f>IFERROR(O58/O50,"")</f>
        <v>0.48435230171846327</v>
      </c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>
      <c r="A60" s="81"/>
      <c r="B60" s="81" t="s">
        <v>154</v>
      </c>
      <c r="C60" s="81" t="s">
        <v>142</v>
      </c>
      <c r="D60" s="15">
        <f>('Historical Financials'!D14+'Historical Financials'!D21)/1000</f>
        <v>365.58</v>
      </c>
      <c r="E60" s="15">
        <f>('Historical Financials'!E14+'Historical Financials'!E21)/1000</f>
        <v>417.63600000000002</v>
      </c>
      <c r="F60" s="15">
        <f>('Historical Financials'!F14+'Historical Financials'!F21)/1000</f>
        <v>437.06900000000002</v>
      </c>
      <c r="G60" s="15">
        <f>('Historical Financials'!G14+'Historical Financials'!G21)/1000</f>
        <v>564.39200000000005</v>
      </c>
      <c r="H60" s="15">
        <f>('Historical Financials'!H14+'Historical Financials'!H21)/1000</f>
        <v>649.59199999999998</v>
      </c>
      <c r="I60" s="15">
        <f>('Historical Financials'!I14+'Historical Financials'!I21)/1000</f>
        <v>627.96100000000001</v>
      </c>
      <c r="J60" s="15">
        <f>('Historical Financials'!J14+'Historical Financials'!J21)/1000</f>
        <v>586.471</v>
      </c>
      <c r="K60" s="26">
        <f>J96*K32</f>
        <v>189.34976</v>
      </c>
      <c r="L60" s="26">
        <f>K96*L32</f>
        <v>195.03025279999997</v>
      </c>
      <c r="M60" s="26">
        <f>L96*M32</f>
        <v>200.881160384</v>
      </c>
      <c r="N60" s="26">
        <f>M96*N32</f>
        <v>206.90759519552</v>
      </c>
      <c r="O60" s="26">
        <f>N96*O32</f>
        <v>213.11482305138563</v>
      </c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81"/>
      <c r="B61" s="81" t="s">
        <v>155</v>
      </c>
      <c r="C61" s="81" t="s">
        <v>142</v>
      </c>
      <c r="D61" s="15">
        <f>('Historical Financials'!D15+'Historical Financials'!D16)/1000</f>
        <v>-50.338000000000001</v>
      </c>
      <c r="E61" s="15">
        <f>('Historical Financials'!E15+'Historical Financials'!E16)/1000</f>
        <v>-41.198999999999998</v>
      </c>
      <c r="F61" s="15">
        <f>('Historical Financials'!F15+'Historical Financials'!F16)/1000</f>
        <v>9.9420000000000002</v>
      </c>
      <c r="G61" s="15">
        <f>('Historical Financials'!G15+'Historical Financials'!G16)/1000</f>
        <v>22.673999999999999</v>
      </c>
      <c r="H61" s="15">
        <f>('Historical Financials'!H15+'Historical Financials'!H16)/1000</f>
        <v>24.140999999999998</v>
      </c>
      <c r="I61" s="15">
        <f>('Historical Financials'!I15+'Historical Financials'!I16)/1000</f>
        <v>-36.084000000000003</v>
      </c>
      <c r="J61" s="15">
        <f>('Historical Financials'!J15+'Historical Financials'!J16)/1000</f>
        <v>121.23399999999999</v>
      </c>
      <c r="K61" s="26">
        <f>0</f>
        <v>0</v>
      </c>
      <c r="L61" s="26">
        <f>0</f>
        <v>0</v>
      </c>
      <c r="M61" s="26">
        <f>0</f>
        <v>0</v>
      </c>
      <c r="N61" s="26">
        <f>0</f>
        <v>0</v>
      </c>
      <c r="O61" s="26">
        <f>0</f>
        <v>0</v>
      </c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81"/>
      <c r="B62" s="24" t="s">
        <v>156</v>
      </c>
      <c r="C62" s="24" t="s">
        <v>142</v>
      </c>
      <c r="D62" s="25">
        <f>D55+D60+D61</f>
        <v>539.09400000000005</v>
      </c>
      <c r="E62" s="25">
        <f>E55+E60+E61</f>
        <v>613.83600000000013</v>
      </c>
      <c r="F62" s="25">
        <f>F55+F60+F61</f>
        <v>736.55400000000009</v>
      </c>
      <c r="G62" s="25">
        <f>G55+G60+G61</f>
        <v>1160.6370000000002</v>
      </c>
      <c r="H62" s="25">
        <f>H55+H60+H61</f>
        <v>1352.7110000000002</v>
      </c>
      <c r="I62" s="25">
        <f>I55+I60+I61</f>
        <v>1440.3430000000001</v>
      </c>
      <c r="J62" s="25">
        <f>J55+J60+J61</f>
        <v>1620.3419999999999</v>
      </c>
      <c r="K62" s="27">
        <f>K55+K60+K61</f>
        <v>1144.1882638</v>
      </c>
      <c r="L62" s="27">
        <f>L55+L60+L61</f>
        <v>1185.4170601602</v>
      </c>
      <c r="M62" s="27">
        <f>M55+M60+M61</f>
        <v>1243.8445964207599</v>
      </c>
      <c r="N62" s="27">
        <f>N55+N60+N61</f>
        <v>1300.6321323978673</v>
      </c>
      <c r="O62" s="27">
        <f>O55+O60+O61</f>
        <v>1371.1499080484555</v>
      </c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>
      <c r="A63" s="81"/>
      <c r="B63" s="81" t="s">
        <v>157</v>
      </c>
      <c r="C63" s="81" t="s">
        <v>142</v>
      </c>
      <c r="D63" s="15">
        <f>'Historical Financials'!D22/1000</f>
        <v>0</v>
      </c>
      <c r="E63" s="15">
        <f>'Historical Financials'!E22/1000</f>
        <v>0</v>
      </c>
      <c r="F63" s="15">
        <f>'Historical Financials'!F22/1000</f>
        <v>0</v>
      </c>
      <c r="G63" s="15">
        <f>'Historical Financials'!G22/1000</f>
        <v>-3.4039999999999999</v>
      </c>
      <c r="H63" s="15">
        <f>'Historical Financials'!H22/1000</f>
        <v>-16.434999999999999</v>
      </c>
      <c r="I63" s="15">
        <f>'Historical Financials'!I22/1000</f>
        <v>-43.116</v>
      </c>
      <c r="J63" s="15">
        <f>'Historical Financials'!J22/1000</f>
        <v>-67.822999999999993</v>
      </c>
      <c r="K63" s="26">
        <f>-AVERAGE(J102+J105,K102+K105)*Assumptions_Log!$D$11</f>
        <v>-88.609121999999985</v>
      </c>
      <c r="L63" s="26">
        <f>-AVERAGE(K102+K105,L102+L105)*Assumptions_Log!$D$11</f>
        <v>-79.748209799999998</v>
      </c>
      <c r="M63" s="26">
        <f>-AVERAGE(L102+L105,M102+M105)*Assumptions_Log!$D$11</f>
        <v>-71.773388820000008</v>
      </c>
      <c r="N63" s="26">
        <f>-AVERAGE(M102+M105,N102+N105)*Assumptions_Log!$D$11</f>
        <v>-64.596049938000007</v>
      </c>
      <c r="O63" s="26">
        <f>-AVERAGE(N102+N105,O102+O105)*Assumptions_Log!$D$11</f>
        <v>-58.136444944200001</v>
      </c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>
      <c r="A64" s="81"/>
      <c r="B64" s="24" t="s">
        <v>39</v>
      </c>
      <c r="C64" s="24" t="s">
        <v>142</v>
      </c>
      <c r="D64" s="25">
        <f>D62+D63</f>
        <v>539.09400000000005</v>
      </c>
      <c r="E64" s="25">
        <f>E62+E63</f>
        <v>613.83600000000013</v>
      </c>
      <c r="F64" s="25">
        <f>F62+F63</f>
        <v>736.55400000000009</v>
      </c>
      <c r="G64" s="25">
        <f>G62+G63</f>
        <v>1157.2330000000002</v>
      </c>
      <c r="H64" s="25">
        <f>H62+H63</f>
        <v>1336.2760000000003</v>
      </c>
      <c r="I64" s="25">
        <f>I62+I63</f>
        <v>1397.2270000000001</v>
      </c>
      <c r="J64" s="25">
        <f>J62+J63</f>
        <v>1552.5189999999998</v>
      </c>
      <c r="K64" s="27">
        <f>K62+K63</f>
        <v>1055.5791417999999</v>
      </c>
      <c r="L64" s="27">
        <f>L62+L63</f>
        <v>1105.6688503601999</v>
      </c>
      <c r="M64" s="27">
        <f>M62+M63</f>
        <v>1172.0712076007599</v>
      </c>
      <c r="N64" s="27">
        <f>N62+N63</f>
        <v>1236.0360824598672</v>
      </c>
      <c r="O64" s="27">
        <f>O62+O63</f>
        <v>1313.0134631042554</v>
      </c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>
      <c r="A65" s="81"/>
      <c r="B65" s="81" t="s">
        <v>40</v>
      </c>
      <c r="C65" s="81" t="s">
        <v>142</v>
      </c>
      <c r="D65" s="15">
        <f>'Historical Financials'!D24/1000</f>
        <v>-112.56399999999999</v>
      </c>
      <c r="E65" s="15">
        <f>'Historical Financials'!E24/1000</f>
        <v>-102.30500000000001</v>
      </c>
      <c r="F65" s="15">
        <f>'Historical Financials'!F24/1000</f>
        <v>-125.166</v>
      </c>
      <c r="G65" s="15">
        <f>'Historical Financials'!G24/1000</f>
        <v>-206.16499999999999</v>
      </c>
      <c r="H65" s="15">
        <f>'Historical Financials'!H24/1000</f>
        <v>-264.96899999999999</v>
      </c>
      <c r="I65" s="15">
        <f>'Historical Financials'!I24/1000</f>
        <v>-280.48399999999998</v>
      </c>
      <c r="J65" s="15">
        <f>'Historical Financials'!J24/1000</f>
        <v>-285.64999999999998</v>
      </c>
      <c r="K65" s="26">
        <f>-K64*Assumptions_Log!$D$12</f>
        <v>-242.78320261399998</v>
      </c>
      <c r="L65" s="26">
        <f>-L64*Assumptions_Log!$D$12</f>
        <v>-254.30383558284601</v>
      </c>
      <c r="M65" s="26">
        <f>-M64*Assumptions_Log!$D$12</f>
        <v>-269.57637774817476</v>
      </c>
      <c r="N65" s="26">
        <f>-N64*Assumptions_Log!$D$12</f>
        <v>-284.28829896576946</v>
      </c>
      <c r="O65" s="26">
        <f>-O64*Assumptions_Log!$D$12</f>
        <v>-301.99309651397874</v>
      </c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>
      <c r="A66" s="81"/>
      <c r="B66" s="85" t="s">
        <v>41</v>
      </c>
      <c r="C66" s="85" t="s">
        <v>142</v>
      </c>
      <c r="D66" s="86">
        <f>'Historical Financials'!D25/1000</f>
        <v>264.589</v>
      </c>
      <c r="E66" s="86">
        <f>'Historical Financials'!E25/1000</f>
        <v>324.654</v>
      </c>
      <c r="F66" s="86">
        <f>'Historical Financials'!F25/1000</f>
        <v>415.09899999999999</v>
      </c>
      <c r="G66" s="86">
        <f>'Historical Financials'!G25/1000</f>
        <v>707.66399999999999</v>
      </c>
      <c r="H66" s="86">
        <f>'Historical Financials'!H25/1000</f>
        <v>816.01300000000003</v>
      </c>
      <c r="I66" s="86">
        <f>'Historical Financials'!I25/1000</f>
        <v>843.274</v>
      </c>
      <c r="J66" s="86">
        <f>'Historical Financials'!J25/1000</f>
        <v>1002.914</v>
      </c>
      <c r="K66" s="86">
        <f>K64+K65</f>
        <v>812.79593918599994</v>
      </c>
      <c r="L66" s="86">
        <f>L64+L65</f>
        <v>851.36501477735396</v>
      </c>
      <c r="M66" s="86">
        <f>M64+M65</f>
        <v>902.4948298525851</v>
      </c>
      <c r="N66" s="86">
        <f>N64+N65</f>
        <v>951.7477834940978</v>
      </c>
      <c r="O66" s="86">
        <f>O64+O65</f>
        <v>1011.0203665902766</v>
      </c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>
      <c r="A67" s="81"/>
      <c r="B67" s="81" t="s">
        <v>158</v>
      </c>
      <c r="C67" s="81" t="s">
        <v>123</v>
      </c>
      <c r="D67" s="14">
        <f>IFERROR(D66/D50,"")</f>
        <v>0.41964948453608247</v>
      </c>
      <c r="E67" s="14">
        <f>IFERROR(E66/E50,"")</f>
        <v>0.47542020683050262</v>
      </c>
      <c r="F67" s="14">
        <f>IFERROR(F66/F50,"")</f>
        <v>0.45786950632481349</v>
      </c>
      <c r="G67" s="14">
        <f>IFERROR(G66/G50,"")</f>
        <v>0.50023609913336065</v>
      </c>
      <c r="H67" s="14">
        <f>IFERROR(H66/H50,"")</f>
        <v>0.47416619841563612</v>
      </c>
      <c r="I67" s="14">
        <f>IFERROR(I66/I50,"")</f>
        <v>0.40810525016756882</v>
      </c>
      <c r="J67" s="14">
        <f>IFERROR(J66/J50,"")</f>
        <v>0.47761221039598067</v>
      </c>
      <c r="K67" s="28">
        <f>IFERROR(K66/K50,"")</f>
        <v>0.36603284477852033</v>
      </c>
      <c r="L67" s="28">
        <f>IFERROR(L66/L50,"")</f>
        <v>0.3627633502042158</v>
      </c>
      <c r="M67" s="28">
        <f>IFERROR(M66/M50,"")</f>
        <v>0.3634334775708532</v>
      </c>
      <c r="N67" s="28">
        <f>IFERROR(N66/N50,"")</f>
        <v>0.36286908834670611</v>
      </c>
      <c r="O67" s="28">
        <f>IFERROR(O66/O50,"")</f>
        <v>0.36668021502042025</v>
      </c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>
      <c r="A68" s="81"/>
      <c r="B68" s="81" t="s">
        <v>159</v>
      </c>
      <c r="C68" s="81" t="s">
        <v>160</v>
      </c>
      <c r="D68" s="15">
        <f>'Historical Financials'!D28/1000</f>
        <v>254.852</v>
      </c>
      <c r="E68" s="15">
        <f>'Historical Financials'!E28/1000</f>
        <v>254.852</v>
      </c>
      <c r="F68" s="15">
        <f>'Historical Financials'!F28/1000</f>
        <v>254.852</v>
      </c>
      <c r="G68" s="15">
        <f>'Historical Financials'!G28/1000</f>
        <v>254.852</v>
      </c>
      <c r="H68" s="15">
        <f>'Historical Financials'!H28/1000</f>
        <v>254.852</v>
      </c>
      <c r="I68" s="15">
        <f>'Historical Financials'!I28/1000</f>
        <v>254.852</v>
      </c>
      <c r="J68" s="15">
        <f>'Historical Financials'!J28/1000</f>
        <v>254.852</v>
      </c>
      <c r="K68" s="26">
        <f>J68</f>
        <v>254.852</v>
      </c>
      <c r="L68" s="26">
        <f>K68</f>
        <v>254.852</v>
      </c>
      <c r="M68" s="26">
        <f>L68</f>
        <v>254.852</v>
      </c>
      <c r="N68" s="26">
        <f>M68</f>
        <v>254.852</v>
      </c>
      <c r="O68" s="26">
        <f>N68</f>
        <v>254.852</v>
      </c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>
      <c r="A69" s="81"/>
      <c r="B69" s="81" t="s">
        <v>161</v>
      </c>
      <c r="C69" s="81" t="s">
        <v>162</v>
      </c>
      <c r="D69" s="19">
        <f>IFERROR(D66/D68,"")</f>
        <v>1.0382064884717404</v>
      </c>
      <c r="E69" s="19">
        <f>IFERROR(E66/E68,"")</f>
        <v>1.2738922982750773</v>
      </c>
      <c r="F69" s="19">
        <f>IFERROR(F66/F68,"")</f>
        <v>1.6287845494640025</v>
      </c>
      <c r="G69" s="19">
        <f>IFERROR(G66/G68,"")</f>
        <v>2.7767645535448024</v>
      </c>
      <c r="H69" s="19">
        <f>IFERROR(H66/H68,"")</f>
        <v>3.2019093434620878</v>
      </c>
      <c r="I69" s="19">
        <f>IFERROR(I66/I68,"")</f>
        <v>3.308877309183369</v>
      </c>
      <c r="J69" s="19">
        <f>IFERROR(J66/J68,"")</f>
        <v>3.9352800841272582</v>
      </c>
      <c r="K69" s="29">
        <f>IFERROR(K66/K68,"")</f>
        <v>3.1892860922653146</v>
      </c>
      <c r="L69" s="29">
        <f>IFERROR(L66/L68,"")</f>
        <v>3.3406252051282861</v>
      </c>
      <c r="M69" s="29">
        <f>IFERROR(M66/M68,"")</f>
        <v>3.5412507253330761</v>
      </c>
      <c r="N69" s="29">
        <f>IFERROR(N66/N68,"")</f>
        <v>3.7345117303144484</v>
      </c>
      <c r="O69" s="29">
        <f>IFERROR(O66/O68,"")</f>
        <v>3.9670882182218565</v>
      </c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>
      <c r="A70" s="81"/>
      <c r="B70" s="81" t="s">
        <v>163</v>
      </c>
      <c r="C70" s="81" t="s">
        <v>162</v>
      </c>
      <c r="D70" s="19">
        <f>'Historical Financials'!D27</f>
        <v>0.7</v>
      </c>
      <c r="E70" s="19">
        <f>'Historical Financials'!E27</f>
        <v>0.7</v>
      </c>
      <c r="F70" s="19">
        <f>'Historical Financials'!F27</f>
        <v>1.6</v>
      </c>
      <c r="G70" s="19">
        <f>'Historical Financials'!G27</f>
        <v>1.7</v>
      </c>
      <c r="H70" s="19">
        <f>'Historical Financials'!H27</f>
        <v>1.7</v>
      </c>
      <c r="I70" s="19">
        <f>'Historical Financials'!I27</f>
        <v>1.7</v>
      </c>
      <c r="J70" s="19">
        <f>'Historical Financials'!J27</f>
        <v>2</v>
      </c>
      <c r="K70" s="29">
        <f>K69*K33</f>
        <v>1.6584287679779637</v>
      </c>
      <c r="L70" s="29">
        <f>L69*L33</f>
        <v>1.7371251066667088</v>
      </c>
      <c r="M70" s="29">
        <f>M69*M33</f>
        <v>1.8414503771731996</v>
      </c>
      <c r="N70" s="29">
        <f>N69*N33</f>
        <v>1.9419460997635132</v>
      </c>
      <c r="O70" s="29">
        <f>O69*O33</f>
        <v>2.0628858734753655</v>
      </c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>
      <c r="A71" s="81"/>
      <c r="B71" s="81" t="s">
        <v>164</v>
      </c>
      <c r="C71" s="81" t="s">
        <v>142</v>
      </c>
      <c r="D71" s="15">
        <f>D70*D68</f>
        <v>178.3964</v>
      </c>
      <c r="E71" s="15">
        <f>E70*E68</f>
        <v>178.3964</v>
      </c>
      <c r="F71" s="15">
        <f>F70*F68</f>
        <v>407.76320000000004</v>
      </c>
      <c r="G71" s="15">
        <f>G70*G68</f>
        <v>433.2484</v>
      </c>
      <c r="H71" s="15">
        <f>H70*H68</f>
        <v>433.2484</v>
      </c>
      <c r="I71" s="15">
        <f>I70*I68</f>
        <v>433.2484</v>
      </c>
      <c r="J71" s="15">
        <f>J70*J68</f>
        <v>509.70400000000001</v>
      </c>
      <c r="K71" s="26">
        <f>K70*K68</f>
        <v>422.65388837672003</v>
      </c>
      <c r="L71" s="26">
        <f>L70*L68</f>
        <v>442.70980768422407</v>
      </c>
      <c r="M71" s="26">
        <f>M70*M68</f>
        <v>469.29731152334426</v>
      </c>
      <c r="N71" s="26">
        <f>N70*N68</f>
        <v>494.90884741693088</v>
      </c>
      <c r="O71" s="26">
        <f>O70*O68</f>
        <v>525.73059062694381</v>
      </c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2"/>
      <c r="L72" s="82"/>
      <c r="M72" s="82"/>
      <c r="N72" s="82"/>
      <c r="O72" s="82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2"/>
      <c r="L73" s="82"/>
      <c r="M73" s="82"/>
      <c r="N73" s="82"/>
      <c r="O73" s="82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2"/>
      <c r="L74" s="82"/>
      <c r="M74" s="82"/>
      <c r="N74" s="82"/>
      <c r="O74" s="82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2"/>
      <c r="L75" s="82"/>
      <c r="M75" s="82"/>
      <c r="N75" s="82"/>
      <c r="O75" s="82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2"/>
      <c r="L76" s="82"/>
      <c r="M76" s="82"/>
      <c r="N76" s="82"/>
      <c r="O76" s="82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2"/>
      <c r="L77" s="82"/>
      <c r="M77" s="82"/>
      <c r="N77" s="82"/>
      <c r="O77" s="82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2"/>
      <c r="L78" s="82"/>
      <c r="M78" s="82"/>
      <c r="N78" s="82"/>
      <c r="O78" s="82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2"/>
      <c r="L79" s="82"/>
      <c r="M79" s="82"/>
      <c r="N79" s="82"/>
      <c r="O79" s="82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2"/>
      <c r="L80" s="82"/>
      <c r="M80" s="82"/>
      <c r="N80" s="82"/>
      <c r="O80" s="82"/>
      <c r="P80" s="81"/>
      <c r="Q80" s="81"/>
      <c r="R80" s="81"/>
      <c r="S80" s="81"/>
      <c r="T80" s="81"/>
      <c r="U80" s="81"/>
      <c r="V80" s="81"/>
      <c r="W80" s="81"/>
      <c r="X80" s="81"/>
      <c r="Y80" s="81"/>
    </row>
    <row r="81" spans="1: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2"/>
      <c r="L81" s="82"/>
      <c r="M81" s="82"/>
      <c r="N81" s="82"/>
      <c r="O81" s="82"/>
      <c r="P81" s="81"/>
      <c r="Q81" s="81"/>
      <c r="R81" s="81"/>
      <c r="S81" s="81"/>
      <c r="T81" s="81"/>
      <c r="U81" s="81"/>
      <c r="V81" s="81"/>
      <c r="W81" s="81"/>
      <c r="X81" s="81"/>
      <c r="Y81" s="81"/>
    </row>
    <row r="82" spans="1: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2"/>
      <c r="L82" s="82"/>
      <c r="M82" s="82"/>
      <c r="N82" s="82"/>
      <c r="O82" s="82"/>
      <c r="P82" s="81"/>
      <c r="Q82" s="81"/>
      <c r="R82" s="81"/>
      <c r="S82" s="81"/>
      <c r="T82" s="81"/>
      <c r="U82" s="81"/>
      <c r="V82" s="81"/>
      <c r="W82" s="81"/>
      <c r="X82" s="81"/>
      <c r="Y82" s="81"/>
    </row>
    <row r="83" spans="1: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2"/>
      <c r="L83" s="82"/>
      <c r="M83" s="82"/>
      <c r="N83" s="82"/>
      <c r="O83" s="82"/>
      <c r="P83" s="81"/>
      <c r="Q83" s="81"/>
      <c r="R83" s="81"/>
      <c r="S83" s="81"/>
      <c r="T83" s="81"/>
      <c r="U83" s="81"/>
      <c r="V83" s="81"/>
      <c r="W83" s="81"/>
      <c r="X83" s="81"/>
      <c r="Y83" s="81"/>
    </row>
    <row r="84" spans="1:25" ht="20.100000000000001" customHeight="1">
      <c r="A84" s="81"/>
      <c r="B84" s="102" t="s">
        <v>165</v>
      </c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81"/>
      <c r="Q84" s="81"/>
      <c r="R84" s="81"/>
      <c r="S84" s="81"/>
      <c r="T84" s="81"/>
      <c r="U84" s="81"/>
      <c r="V84" s="81"/>
      <c r="W84" s="81"/>
      <c r="X84" s="81"/>
      <c r="Y84" s="81"/>
    </row>
    <row r="85" spans="1: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2"/>
      <c r="L85" s="82"/>
      <c r="M85" s="82"/>
      <c r="N85" s="82"/>
      <c r="O85" s="82"/>
      <c r="P85" s="81"/>
      <c r="Q85" s="81"/>
      <c r="R85" s="81"/>
      <c r="S85" s="81"/>
      <c r="T85" s="81"/>
      <c r="U85" s="81"/>
      <c r="V85" s="81"/>
      <c r="W85" s="81"/>
      <c r="X85" s="81"/>
      <c r="Y85" s="81"/>
    </row>
    <row r="86" spans="1: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2"/>
      <c r="L86" s="82"/>
      <c r="M86" s="82"/>
      <c r="N86" s="82"/>
      <c r="O86" s="82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7" spans="1:25">
      <c r="A87" s="81"/>
      <c r="B87" s="81" t="s">
        <v>46</v>
      </c>
      <c r="C87" s="81" t="s">
        <v>142</v>
      </c>
      <c r="D87" s="15">
        <f>'Historical Financials'!D31/1000</f>
        <v>220.036</v>
      </c>
      <c r="E87" s="15">
        <f>'Historical Financials'!E31/1000</f>
        <v>6.0949999999999998</v>
      </c>
      <c r="F87" s="15">
        <f>'Historical Financials'!F31/1000</f>
        <v>167.636</v>
      </c>
      <c r="G87" s="15">
        <f>'Historical Financials'!G31/1000</f>
        <v>15.250999999999999</v>
      </c>
      <c r="H87" s="15">
        <f>'Historical Financials'!H31/1000</f>
        <v>117.45399999999999</v>
      </c>
      <c r="I87" s="15">
        <f>'Historical Financials'!I31/1000</f>
        <v>524.88199999999995</v>
      </c>
      <c r="J87" s="15">
        <f>'Historical Financials'!J31/1000</f>
        <v>118.57599999999999</v>
      </c>
      <c r="K87" s="26">
        <f>J87+K149</f>
        <v>159.49740676982807</v>
      </c>
      <c r="L87" s="26">
        <f>K87+L149</f>
        <v>417.4759148833416</v>
      </c>
      <c r="M87" s="26">
        <f>L87+M149</f>
        <v>722.30936323082324</v>
      </c>
      <c r="N87" s="26">
        <f>M87+N149</f>
        <v>1067.0321295369383</v>
      </c>
      <c r="O87" s="26">
        <f>N87+O149</f>
        <v>1433.5632355849114</v>
      </c>
      <c r="P87" s="81"/>
      <c r="Q87" s="81"/>
      <c r="R87" s="81"/>
      <c r="S87" s="81"/>
      <c r="T87" s="81"/>
      <c r="U87" s="81"/>
      <c r="V87" s="81"/>
      <c r="W87" s="81"/>
      <c r="X87" s="81"/>
      <c r="Y87" s="81"/>
    </row>
    <row r="88" spans="1:25">
      <c r="A88" s="81"/>
      <c r="B88" s="81" t="s">
        <v>166</v>
      </c>
      <c r="C88" s="81" t="s">
        <v>142</v>
      </c>
      <c r="D88" s="15">
        <f>'Historical Financials'!D32/1000</f>
        <v>501.29</v>
      </c>
      <c r="E88" s="15">
        <f>'Historical Financials'!E32/1000</f>
        <v>813.64099999999996</v>
      </c>
      <c r="F88" s="15">
        <f>'Historical Financials'!F32/1000</f>
        <v>813.11500000000001</v>
      </c>
      <c r="G88" s="15">
        <f>'Historical Financials'!G32/1000</f>
        <v>299.32499999999999</v>
      </c>
      <c r="H88" s="15">
        <f>'Historical Financials'!H32/1000</f>
        <v>254.65799999999999</v>
      </c>
      <c r="I88" s="15">
        <f>'Historical Financials'!I32/1000</f>
        <v>399.67599999999999</v>
      </c>
      <c r="J88" s="15">
        <f>'Historical Financials'!J32/1000</f>
        <v>894.6</v>
      </c>
      <c r="K88" s="26">
        <f>K115-(K87+K89+K90+K91+K97)</f>
        <v>891.73689090604512</v>
      </c>
      <c r="L88" s="26">
        <f>L115-(L87+L89+L90+L91+L97)</f>
        <v>833.63525843448951</v>
      </c>
      <c r="M88" s="26">
        <f>M115-(M87+M89+M90+M91+M97)</f>
        <v>775.32133829780923</v>
      </c>
      <c r="N88" s="26">
        <f>N115-(N87+N89+N90+N91+N97)</f>
        <v>714.77754373368498</v>
      </c>
      <c r="O88" s="26">
        <f>O115-(O87+O89+O90+O91+O97)</f>
        <v>653.05844662627715</v>
      </c>
      <c r="P88" s="81"/>
      <c r="Q88" s="81"/>
      <c r="R88" s="81"/>
      <c r="S88" s="81"/>
      <c r="T88" s="81"/>
      <c r="U88" s="81"/>
      <c r="V88" s="81"/>
      <c r="W88" s="81"/>
      <c r="X88" s="81"/>
      <c r="Y88" s="81"/>
    </row>
    <row r="89" spans="1:25">
      <c r="A89" s="81"/>
      <c r="B89" s="81" t="s">
        <v>48</v>
      </c>
      <c r="C89" s="81" t="s">
        <v>142</v>
      </c>
      <c r="D89" s="15">
        <f>'Historical Financials'!D33/1000</f>
        <v>174.74100000000001</v>
      </c>
      <c r="E89" s="15">
        <f>'Historical Financials'!E33/1000</f>
        <v>195.453</v>
      </c>
      <c r="F89" s="15">
        <f>'Historical Financials'!F33/1000</f>
        <v>213.297</v>
      </c>
      <c r="G89" s="15">
        <f>'Historical Financials'!G33/1000</f>
        <v>367.17599999999999</v>
      </c>
      <c r="H89" s="15">
        <f>'Historical Financials'!H33/1000</f>
        <v>547.90599999999995</v>
      </c>
      <c r="I89" s="15">
        <f>'Historical Financials'!I33/1000</f>
        <v>581.10799999999995</v>
      </c>
      <c r="J89" s="15">
        <f>'Historical Financials'!J33/1000</f>
        <v>640.53300000000002</v>
      </c>
      <c r="K89" s="26">
        <f>K50*K128/365</f>
        <v>681.37567649315065</v>
      </c>
      <c r="L89" s="26">
        <f>L50*L128/365</f>
        <v>707.28136603013684</v>
      </c>
      <c r="M89" s="26">
        <f>M50*M128/365</f>
        <v>734.76876120006568</v>
      </c>
      <c r="N89" s="26">
        <f>N50*N128/365</f>
        <v>761.70165857526888</v>
      </c>
      <c r="O89" s="26">
        <f>O50*O128/365</f>
        <v>793.17471575141769</v>
      </c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spans="1:25">
      <c r="A90" s="81"/>
      <c r="B90" s="81" t="s">
        <v>49</v>
      </c>
      <c r="C90" s="81" t="s">
        <v>142</v>
      </c>
      <c r="D90" s="15">
        <f>'Historical Financials'!D34/1000</f>
        <v>41.235999999999997</v>
      </c>
      <c r="E90" s="15">
        <f>'Historical Financials'!E34/1000</f>
        <v>33.863</v>
      </c>
      <c r="F90" s="15">
        <f>'Historical Financials'!F34/1000</f>
        <v>39.898000000000003</v>
      </c>
      <c r="G90" s="15">
        <f>'Historical Financials'!G34/1000</f>
        <v>64.953999999999994</v>
      </c>
      <c r="H90" s="15">
        <f>'Historical Financials'!H34/1000</f>
        <v>87.19</v>
      </c>
      <c r="I90" s="15">
        <f>'Historical Financials'!I34/1000</f>
        <v>140.61199999999999</v>
      </c>
      <c r="J90" s="15">
        <f>'Historical Financials'!J34/1000</f>
        <v>159.47499999999999</v>
      </c>
      <c r="K90" s="26">
        <f>-K51*K129/365</f>
        <v>164.26020772602737</v>
      </c>
      <c r="L90" s="26">
        <f>-L51*L129/365</f>
        <v>178.42779915760272</v>
      </c>
      <c r="M90" s="26">
        <f>-M51*M129/365</f>
        <v>188.79475114168352</v>
      </c>
      <c r="N90" s="26">
        <f>-N51*N129/365</f>
        <v>202.06651546355246</v>
      </c>
      <c r="O90" s="26">
        <f>-O51*O129/365</f>
        <v>209.54920585661259</v>
      </c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spans="1:25">
      <c r="A91" s="81"/>
      <c r="B91" s="81" t="s">
        <v>167</v>
      </c>
      <c r="C91" s="81" t="s">
        <v>142</v>
      </c>
      <c r="D91" s="15">
        <f>('Historical Financials'!D35+'Historical Financials'!D36)/1000</f>
        <v>19.052</v>
      </c>
      <c r="E91" s="15">
        <f>('Historical Financials'!E35+'Historical Financials'!E36)/1000</f>
        <v>7.274</v>
      </c>
      <c r="F91" s="15">
        <f>('Historical Financials'!F35+'Historical Financials'!F36)/1000</f>
        <v>8.9960000000000004</v>
      </c>
      <c r="G91" s="15">
        <f>('Historical Financials'!G35+'Historical Financials'!G36)/1000</f>
        <v>9.0709999999999997</v>
      </c>
      <c r="H91" s="15">
        <f>('Historical Financials'!H35+'Historical Financials'!H36)/1000</f>
        <v>13.706</v>
      </c>
      <c r="I91" s="15">
        <f>('Historical Financials'!I35+'Historical Financials'!I36)/1000</f>
        <v>105.64</v>
      </c>
      <c r="J91" s="15">
        <f>('Historical Financials'!J35+'Historical Financials'!J36)/1000</f>
        <v>0</v>
      </c>
      <c r="K91" s="26">
        <f>K50*Assumptions_Log!G$35</f>
        <v>11.102773299999999</v>
      </c>
      <c r="L91" s="26">
        <f>L50*Assumptions_Log!H$35</f>
        <v>11.734440845499998</v>
      </c>
      <c r="M91" s="26">
        <f>M50*Assumptions_Log!I$35</f>
        <v>12.416231381389998</v>
      </c>
      <c r="N91" s="26">
        <f>N50*Assumptions_Log!J$35</f>
        <v>13.114203083960998</v>
      </c>
      <c r="O91" s="26">
        <f>O50*Assumptions_Log!K$35</f>
        <v>13.786131964250831</v>
      </c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spans="1:25">
      <c r="A92" s="81"/>
      <c r="B92" s="24" t="s">
        <v>52</v>
      </c>
      <c r="C92" s="24" t="s">
        <v>142</v>
      </c>
      <c r="D92" s="25">
        <f>SUM(D87:D91)</f>
        <v>956.35500000000002</v>
      </c>
      <c r="E92" s="25">
        <f>SUM(E87:E91)</f>
        <v>1056.3259999999998</v>
      </c>
      <c r="F92" s="25">
        <f>SUM(F87:F91)</f>
        <v>1242.942</v>
      </c>
      <c r="G92" s="25">
        <f>SUM(G87:G91)</f>
        <v>755.77699999999993</v>
      </c>
      <c r="H92" s="25">
        <f>SUM(H87:H91)</f>
        <v>1020.9139999999999</v>
      </c>
      <c r="I92" s="25">
        <f>SUM(I87:I91)</f>
        <v>1751.9180000000001</v>
      </c>
      <c r="J92" s="25">
        <f>SUM(J87:J91)</f>
        <v>1813.184</v>
      </c>
      <c r="K92" s="27">
        <f>SUM(K87:K91)</f>
        <v>1907.9729551950513</v>
      </c>
      <c r="L92" s="27">
        <f>SUM(L87:L91)</f>
        <v>2148.5547793510709</v>
      </c>
      <c r="M92" s="27">
        <f>SUM(M87:M91)</f>
        <v>2433.610445251772</v>
      </c>
      <c r="N92" s="27">
        <f>SUM(N87:N91)</f>
        <v>2758.6920503934057</v>
      </c>
      <c r="O92" s="27">
        <f>SUM(O87:O91)</f>
        <v>3103.1317357834691</v>
      </c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spans="1:25">
      <c r="A93" s="81"/>
      <c r="B93" s="81" t="s">
        <v>53</v>
      </c>
      <c r="C93" s="81" t="s">
        <v>142</v>
      </c>
      <c r="D93" s="15">
        <f>'Historical Financials'!D38/1000</f>
        <v>919.40099999999995</v>
      </c>
      <c r="E93" s="15">
        <f>'Historical Financials'!E38/1000</f>
        <v>883.72799999999995</v>
      </c>
      <c r="F93" s="15">
        <f>'Historical Financials'!F38/1000</f>
        <v>938.13900000000001</v>
      </c>
      <c r="G93" s="15">
        <f>'Historical Financials'!G38/1000</f>
        <v>994.56500000000005</v>
      </c>
      <c r="H93" s="15">
        <f>'Historical Financials'!H38/1000</f>
        <v>1360.0909999999999</v>
      </c>
      <c r="I93" s="15">
        <f>'Historical Financials'!I38/1000</f>
        <v>1963.9880000000001</v>
      </c>
      <c r="J93" s="15">
        <f>'Historical Financials'!J38/1000</f>
        <v>2221.7890000000002</v>
      </c>
      <c r="K93" s="26">
        <f>J93+K123-K57</f>
        <v>2465.9636087999997</v>
      </c>
      <c r="L93" s="26">
        <f>K93+L123-L57</f>
        <v>2528.0349730939997</v>
      </c>
      <c r="M93" s="26">
        <f>L93+M123-M57</f>
        <v>2574.5646898424393</v>
      </c>
      <c r="N93" s="26">
        <f>M93+N123-N57</f>
        <v>2609.3215402765295</v>
      </c>
      <c r="O93" s="26">
        <f>N93+O123-O57</f>
        <v>2652.465786965739</v>
      </c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spans="1:25">
      <c r="A94" s="81"/>
      <c r="B94" s="81" t="s">
        <v>54</v>
      </c>
      <c r="C94" s="81" t="s">
        <v>142</v>
      </c>
      <c r="D94" s="15">
        <f>'Historical Financials'!D39/1000</f>
        <v>249.8</v>
      </c>
      <c r="E94" s="15">
        <f>'Historical Financials'!E39/1000</f>
        <v>247.45099999999999</v>
      </c>
      <c r="F94" s="15">
        <f>'Historical Financials'!F39/1000</f>
        <v>244.41399999999999</v>
      </c>
      <c r="G94" s="15">
        <f>'Historical Financials'!G39/1000</f>
        <v>299.15199999999999</v>
      </c>
      <c r="H94" s="15">
        <f>'Historical Financials'!H39/1000</f>
        <v>296.73200000000003</v>
      </c>
      <c r="I94" s="15">
        <f>'Historical Financials'!I39/1000</f>
        <v>145.89400000000001</v>
      </c>
      <c r="J94" s="15">
        <f>'Historical Financials'!J39/1000</f>
        <v>222.9</v>
      </c>
      <c r="K94" s="26">
        <f>J94*(1+Assumptions_Log!G$38)</f>
        <v>225.12900000000002</v>
      </c>
      <c r="L94" s="26">
        <f>K94*(1+Assumptions_Log!H$38)</f>
        <v>227.38029000000003</v>
      </c>
      <c r="M94" s="26">
        <f>L94*(1+Assumptions_Log!I$38)</f>
        <v>229.65409290000002</v>
      </c>
      <c r="N94" s="26">
        <f>M94*(1+Assumptions_Log!J$38)</f>
        <v>231.95063382900003</v>
      </c>
      <c r="O94" s="26">
        <f>N94*(1+Assumptions_Log!K$38)</f>
        <v>234.27014016729004</v>
      </c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spans="1:25">
      <c r="A95" s="81"/>
      <c r="B95" s="81" t="s">
        <v>168</v>
      </c>
      <c r="C95" s="81" t="s">
        <v>142</v>
      </c>
      <c r="D95" s="15">
        <f>('Historical Financials'!D40+'Historical Financials'!D41)/1000</f>
        <v>53.351999999999997</v>
      </c>
      <c r="E95" s="15">
        <f>('Historical Financials'!E40+'Historical Financials'!E41)/1000</f>
        <v>53.018000000000001</v>
      </c>
      <c r="F95" s="15">
        <f>('Historical Financials'!F40+'Historical Financials'!F41)/1000</f>
        <v>53.26</v>
      </c>
      <c r="G95" s="15">
        <f>('Historical Financials'!G40+'Historical Financials'!G41)/1000</f>
        <v>53.622</v>
      </c>
      <c r="H95" s="15">
        <f>('Historical Financials'!H40+'Historical Financials'!H41)/1000</f>
        <v>52.716999999999999</v>
      </c>
      <c r="I95" s="15">
        <f>('Historical Financials'!I40+'Historical Financials'!I41)/1000</f>
        <v>53.369</v>
      </c>
      <c r="J95" s="15">
        <f>('Historical Financials'!J40+'Historical Financials'!J41)/1000</f>
        <v>54.942999999999998</v>
      </c>
      <c r="K95" s="26">
        <f>MAX(0,J95-0.3)</f>
        <v>54.643000000000001</v>
      </c>
      <c r="L95" s="26">
        <f>MAX(0,K95-0.3)</f>
        <v>54.343000000000004</v>
      </c>
      <c r="M95" s="26">
        <f>MAX(0,L95-0.3)</f>
        <v>54.043000000000006</v>
      </c>
      <c r="N95" s="26">
        <f>MAX(0,M95-0.3)</f>
        <v>53.743000000000009</v>
      </c>
      <c r="O95" s="26">
        <f>MAX(0,N95-0.3)</f>
        <v>53.443000000000012</v>
      </c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spans="1:25">
      <c r="A96" s="81"/>
      <c r="B96" s="81" t="s">
        <v>57</v>
      </c>
      <c r="C96" s="81" t="s">
        <v>142</v>
      </c>
      <c r="D96" s="15">
        <f>'Historical Financials'!D42/1000</f>
        <v>1324.5930000000001</v>
      </c>
      <c r="E96" s="15">
        <f>'Historical Financials'!E42/1000</f>
        <v>1387.308</v>
      </c>
      <c r="F96" s="15">
        <f>'Historical Financials'!F42/1000</f>
        <v>1440.4690000000001</v>
      </c>
      <c r="G96" s="15">
        <f>'Historical Financials'!G42/1000</f>
        <v>2358.6309999999999</v>
      </c>
      <c r="H96" s="15">
        <f>'Historical Financials'!H42/1000</f>
        <v>2382.67</v>
      </c>
      <c r="I96" s="15">
        <f>'Historical Financials'!I42/1000</f>
        <v>2363.154</v>
      </c>
      <c r="J96" s="15">
        <f>'Historical Financials'!J42/1000</f>
        <v>2366.8719999999998</v>
      </c>
      <c r="K96" s="26">
        <f>J96*(1+K31)</f>
        <v>2437.8781599999998</v>
      </c>
      <c r="L96" s="26">
        <f>K96*(1+L31)</f>
        <v>2511.0145047999999</v>
      </c>
      <c r="M96" s="26">
        <f>L96*(1+M31)</f>
        <v>2586.3449399440001</v>
      </c>
      <c r="N96" s="26">
        <f>M96*(1+N31)</f>
        <v>2663.9352881423201</v>
      </c>
      <c r="O96" s="26">
        <f>N96*(1+O31)</f>
        <v>2743.85334678659</v>
      </c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7" spans="1:25">
      <c r="A97" s="81"/>
      <c r="B97" s="24" t="s">
        <v>58</v>
      </c>
      <c r="C97" s="24" t="s">
        <v>142</v>
      </c>
      <c r="D97" s="25">
        <f>SUM(D93:D96)</f>
        <v>2547.1460000000002</v>
      </c>
      <c r="E97" s="25">
        <f>SUM(E93:E96)</f>
        <v>2571.5050000000001</v>
      </c>
      <c r="F97" s="25">
        <f>SUM(F93:F96)</f>
        <v>2676.2820000000002</v>
      </c>
      <c r="G97" s="25">
        <f>SUM(G93:G96)</f>
        <v>3705.9700000000003</v>
      </c>
      <c r="H97" s="25">
        <f>SUM(H93:H96)</f>
        <v>4092.21</v>
      </c>
      <c r="I97" s="25">
        <f>SUM(I93:I96)</f>
        <v>4526.4050000000007</v>
      </c>
      <c r="J97" s="25">
        <f>SUM(J93:J96)</f>
        <v>4866.5040000000008</v>
      </c>
      <c r="K97" s="27">
        <f>SUM(K93:K96)</f>
        <v>5183.6137687999999</v>
      </c>
      <c r="L97" s="27">
        <f>SUM(L93:L96)</f>
        <v>5320.7727678939991</v>
      </c>
      <c r="M97" s="27">
        <f>SUM(M93:M96)</f>
        <v>5444.6067226864398</v>
      </c>
      <c r="N97" s="27">
        <f>SUM(N93:N96)</f>
        <v>5558.9504622478489</v>
      </c>
      <c r="O97" s="27">
        <f>SUM(O93:O96)</f>
        <v>5684.032273919619</v>
      </c>
      <c r="P97" s="81"/>
      <c r="Q97" s="81"/>
      <c r="R97" s="81"/>
      <c r="S97" s="81"/>
      <c r="T97" s="81"/>
      <c r="U97" s="81"/>
      <c r="V97" s="81"/>
      <c r="W97" s="81"/>
      <c r="X97" s="81"/>
      <c r="Y97" s="81"/>
    </row>
    <row r="98" spans="1:25">
      <c r="A98" s="81"/>
      <c r="B98" s="24" t="s">
        <v>169</v>
      </c>
      <c r="C98" s="24" t="s">
        <v>142</v>
      </c>
      <c r="D98" s="25">
        <f>D92+D97</f>
        <v>3503.5010000000002</v>
      </c>
      <c r="E98" s="25">
        <f>E92+E97</f>
        <v>3627.8310000000001</v>
      </c>
      <c r="F98" s="25">
        <f>F92+F97</f>
        <v>3919.2240000000002</v>
      </c>
      <c r="G98" s="25">
        <f>G92+G97</f>
        <v>4461.7470000000003</v>
      </c>
      <c r="H98" s="25">
        <f>H92+H97</f>
        <v>5113.1239999999998</v>
      </c>
      <c r="I98" s="25">
        <f>I92+I97</f>
        <v>6278.3230000000003</v>
      </c>
      <c r="J98" s="25">
        <f>J92+J97</f>
        <v>6679.688000000001</v>
      </c>
      <c r="K98" s="27">
        <f>K92+K97</f>
        <v>7091.5867239950512</v>
      </c>
      <c r="L98" s="27">
        <f>L92+L97</f>
        <v>7469.3275472450696</v>
      </c>
      <c r="M98" s="27">
        <f>M92+M97</f>
        <v>7878.2171679382118</v>
      </c>
      <c r="N98" s="27">
        <f>N92+N97</f>
        <v>8317.6425126412541</v>
      </c>
      <c r="O98" s="27">
        <f>O92+O97</f>
        <v>8787.1640097030886</v>
      </c>
      <c r="P98" s="81"/>
      <c r="Q98" s="81"/>
      <c r="R98" s="81"/>
      <c r="S98" s="81"/>
      <c r="T98" s="81"/>
      <c r="U98" s="81"/>
      <c r="V98" s="81"/>
      <c r="W98" s="81"/>
      <c r="X98" s="81"/>
      <c r="Y98" s="81"/>
    </row>
    <row r="99" spans="1:25">
      <c r="A99" s="81"/>
      <c r="B99" s="81" t="s">
        <v>60</v>
      </c>
      <c r="C99" s="81" t="s">
        <v>142</v>
      </c>
      <c r="D99" s="15">
        <f>'Historical Financials'!D45/1000</f>
        <v>106.42100000000001</v>
      </c>
      <c r="E99" s="15">
        <f>'Historical Financials'!E45/1000</f>
        <v>112.983</v>
      </c>
      <c r="F99" s="15">
        <f>'Historical Financials'!F45/1000</f>
        <v>170.90600000000001</v>
      </c>
      <c r="G99" s="15">
        <f>'Historical Financials'!G45/1000</f>
        <v>275.89699999999999</v>
      </c>
      <c r="H99" s="15">
        <f>'Historical Financials'!H45/1000</f>
        <v>388.142</v>
      </c>
      <c r="I99" s="15">
        <f>'Historical Financials'!I45/1000</f>
        <v>408.88299999999998</v>
      </c>
      <c r="J99" s="15">
        <f>'Historical Financials'!J45/1000</f>
        <v>257.64800000000002</v>
      </c>
      <c r="K99" s="26">
        <f>-K51*K130/365</f>
        <v>275.95714897972601</v>
      </c>
      <c r="L99" s="26">
        <f>-L51*L130/365</f>
        <v>297.37966526267121</v>
      </c>
      <c r="M99" s="26">
        <f>-M51*M130/365</f>
        <v>316.35877218336162</v>
      </c>
      <c r="N99" s="26">
        <f>-N51*N130/365</f>
        <v>335.86731624347232</v>
      </c>
      <c r="O99" s="26">
        <f>-O51*O130/365</f>
        <v>350.20552211653069</v>
      </c>
      <c r="P99" s="81"/>
      <c r="Q99" s="81"/>
      <c r="R99" s="81"/>
      <c r="S99" s="81"/>
      <c r="T99" s="81"/>
      <c r="U99" s="81"/>
      <c r="V99" s="81"/>
      <c r="W99" s="81"/>
      <c r="X99" s="81"/>
      <c r="Y99" s="81"/>
    </row>
    <row r="100" spans="1:25">
      <c r="A100" s="81"/>
      <c r="B100" s="81" t="s">
        <v>170</v>
      </c>
      <c r="C100" s="81" t="s">
        <v>142</v>
      </c>
      <c r="D100" s="15">
        <f>'Historical Financials'!D46/1000</f>
        <v>33.555</v>
      </c>
      <c r="E100" s="15">
        <f>'Historical Financials'!E46/1000</f>
        <v>46.712000000000003</v>
      </c>
      <c r="F100" s="15">
        <f>'Historical Financials'!F46/1000</f>
        <v>45.639000000000003</v>
      </c>
      <c r="G100" s="15">
        <f>'Historical Financials'!G46/1000</f>
        <v>59.149000000000001</v>
      </c>
      <c r="H100" s="15">
        <f>'Historical Financials'!H46/1000</f>
        <v>72.167000000000002</v>
      </c>
      <c r="I100" s="15">
        <f>'Historical Financials'!I46/1000</f>
        <v>84.778000000000006</v>
      </c>
      <c r="J100" s="15">
        <f>'Historical Financials'!J46/1000</f>
        <v>100.13500000000001</v>
      </c>
      <c r="K100" s="26">
        <f>K71*0.2</f>
        <v>84.530777675344012</v>
      </c>
      <c r="L100" s="26">
        <f>L71*0.2</f>
        <v>88.541961536844823</v>
      </c>
      <c r="M100" s="26">
        <f>M71*0.2</f>
        <v>93.859462304668853</v>
      </c>
      <c r="N100" s="26">
        <f>N71*0.2</f>
        <v>98.981769483386188</v>
      </c>
      <c r="O100" s="26">
        <f>O71*0.2</f>
        <v>105.14611812538877</v>
      </c>
      <c r="P100" s="81"/>
      <c r="Q100" s="81"/>
      <c r="R100" s="81"/>
      <c r="S100" s="81"/>
      <c r="T100" s="81"/>
      <c r="U100" s="81"/>
      <c r="V100" s="81"/>
      <c r="W100" s="81"/>
      <c r="X100" s="81"/>
      <c r="Y100" s="81"/>
    </row>
    <row r="101" spans="1:25">
      <c r="A101" s="81"/>
      <c r="B101" s="81" t="s">
        <v>171</v>
      </c>
      <c r="C101" s="81" t="s">
        <v>142</v>
      </c>
      <c r="D101" s="15">
        <f>'Historical Financials'!D47/1000</f>
        <v>27.981000000000002</v>
      </c>
      <c r="E101" s="15">
        <f>'Historical Financials'!E47/1000</f>
        <v>23.599</v>
      </c>
      <c r="F101" s="15">
        <f>'Historical Financials'!F47/1000</f>
        <v>32.813000000000002</v>
      </c>
      <c r="G101" s="15">
        <f>'Historical Financials'!G47/1000</f>
        <v>74.635999999999996</v>
      </c>
      <c r="H101" s="15">
        <f>'Historical Financials'!H47/1000</f>
        <v>0</v>
      </c>
      <c r="I101" s="15">
        <f>'Historical Financials'!I47/1000</f>
        <v>0</v>
      </c>
      <c r="J101" s="15">
        <f>'Historical Financials'!J47/1000</f>
        <v>12.003</v>
      </c>
      <c r="K101" s="26">
        <f>-K65*0.05</f>
        <v>12.139160130699999</v>
      </c>
      <c r="L101" s="26">
        <f>-L65*0.05</f>
        <v>12.715191779142302</v>
      </c>
      <c r="M101" s="26">
        <f>-M65*0.05</f>
        <v>13.478818887408739</v>
      </c>
      <c r="N101" s="26">
        <f>-N65*0.05</f>
        <v>14.214414948288473</v>
      </c>
      <c r="O101" s="26">
        <f>-O65*0.05</f>
        <v>15.099654825698938</v>
      </c>
      <c r="P101" s="81"/>
      <c r="Q101" s="81"/>
      <c r="R101" s="81"/>
      <c r="S101" s="81"/>
      <c r="T101" s="81"/>
      <c r="U101" s="81"/>
      <c r="V101" s="81"/>
      <c r="W101" s="81"/>
      <c r="X101" s="81"/>
      <c r="Y101" s="81"/>
    </row>
    <row r="102" spans="1:25">
      <c r="A102" s="81"/>
      <c r="B102" s="81" t="s">
        <v>63</v>
      </c>
      <c r="C102" s="81" t="s">
        <v>142</v>
      </c>
      <c r="D102" s="15">
        <f>'Historical Financials'!D48/1000</f>
        <v>0</v>
      </c>
      <c r="E102" s="15">
        <f>'Historical Financials'!E48/1000</f>
        <v>0</v>
      </c>
      <c r="F102" s="15">
        <f>'Historical Financials'!F48/1000</f>
        <v>0</v>
      </c>
      <c r="G102" s="15">
        <f>'Historical Financials'!G48/1000</f>
        <v>47.838000000000001</v>
      </c>
      <c r="H102" s="15">
        <f>'Historical Financials'!H48/1000</f>
        <v>68.840999999999994</v>
      </c>
      <c r="I102" s="15">
        <f>'Historical Financials'!I48/1000</f>
        <v>177.08</v>
      </c>
      <c r="J102" s="15">
        <f>'Historical Financials'!J48/1000</f>
        <v>276.71899999999999</v>
      </c>
      <c r="K102" s="26">
        <f>J102*0.9</f>
        <v>249.0471</v>
      </c>
      <c r="L102" s="26">
        <f>K102*0.9</f>
        <v>224.14239000000001</v>
      </c>
      <c r="M102" s="26">
        <f>L102*0.9</f>
        <v>201.728151</v>
      </c>
      <c r="N102" s="26">
        <f>M102*0.9</f>
        <v>181.55533589999999</v>
      </c>
      <c r="O102" s="26">
        <f>N102*0.9</f>
        <v>163.39980230999998</v>
      </c>
      <c r="P102" s="81"/>
      <c r="Q102" s="81"/>
      <c r="R102" s="81"/>
      <c r="S102" s="81"/>
      <c r="T102" s="81"/>
      <c r="U102" s="81"/>
      <c r="V102" s="81"/>
      <c r="W102" s="81"/>
      <c r="X102" s="81"/>
      <c r="Y102" s="81"/>
    </row>
    <row r="103" spans="1:25">
      <c r="A103" s="81"/>
      <c r="B103" s="81" t="s">
        <v>172</v>
      </c>
      <c r="C103" s="81" t="s">
        <v>142</v>
      </c>
      <c r="D103" s="15">
        <f>'Historical Financials'!D49/1000-SUM(D99:D102)</f>
        <v>0</v>
      </c>
      <c r="E103" s="15">
        <f>'Historical Financials'!E49/1000-SUM(E99:E102)</f>
        <v>0</v>
      </c>
      <c r="F103" s="15">
        <f>'Historical Financials'!F49/1000-SUM(F99:F102)</f>
        <v>0</v>
      </c>
      <c r="G103" s="15">
        <f>'Historical Financials'!G49/1000-SUM(G99:G102)</f>
        <v>0</v>
      </c>
      <c r="H103" s="15">
        <f>'Historical Financials'!H49/1000-SUM(H99:H102)</f>
        <v>0</v>
      </c>
      <c r="I103" s="15">
        <f>'Historical Financials'!I49/1000-SUM(I99:I102)</f>
        <v>0</v>
      </c>
      <c r="J103" s="15">
        <f>'Historical Financials'!J49/1000-SUM(J99:J102)</f>
        <v>0</v>
      </c>
      <c r="K103" s="26">
        <f>K50*Assumptions_Log!G$36</f>
        <v>88.822186399999993</v>
      </c>
      <c r="L103" s="26">
        <f>L50*Assumptions_Log!H$36</f>
        <v>93.875526763999986</v>
      </c>
      <c r="M103" s="26">
        <f>M50*Assumptions_Log!I$36</f>
        <v>99.329851051119988</v>
      </c>
      <c r="N103" s="26">
        <f>N50*Assumptions_Log!J$36</f>
        <v>104.91362467168798</v>
      </c>
      <c r="O103" s="26">
        <f>O50*Assumptions_Log!K$36</f>
        <v>110.28905571400665</v>
      </c>
      <c r="P103" s="81"/>
      <c r="Q103" s="81"/>
      <c r="R103" s="81"/>
      <c r="S103" s="81"/>
      <c r="T103" s="81"/>
      <c r="U103" s="81"/>
      <c r="V103" s="81"/>
      <c r="W103" s="81"/>
      <c r="X103" s="81"/>
      <c r="Y103" s="81"/>
    </row>
    <row r="104" spans="1:25">
      <c r="A104" s="81"/>
      <c r="B104" s="24" t="s">
        <v>64</v>
      </c>
      <c r="C104" s="24" t="s">
        <v>142</v>
      </c>
      <c r="D104" s="25">
        <f>SUM(D99:D103)</f>
        <v>167.95699999999999</v>
      </c>
      <c r="E104" s="25">
        <f>SUM(E99:E103)</f>
        <v>183.29399999999998</v>
      </c>
      <c r="F104" s="25">
        <f>SUM(F99:F103)</f>
        <v>249.358</v>
      </c>
      <c r="G104" s="25">
        <f>SUM(G99:G103)</f>
        <v>457.52000000000004</v>
      </c>
      <c r="H104" s="25">
        <f>SUM(H99:H103)</f>
        <v>529.15</v>
      </c>
      <c r="I104" s="25">
        <f>SUM(I99:I103)</f>
        <v>670.74099999999999</v>
      </c>
      <c r="J104" s="25">
        <f>SUM(J99:J103)</f>
        <v>646.505</v>
      </c>
      <c r="K104" s="27">
        <f>SUM(K99:K103)</f>
        <v>710.49637318577004</v>
      </c>
      <c r="L104" s="27">
        <f>SUM(L99:L103)</f>
        <v>716.65473534265834</v>
      </c>
      <c r="M104" s="27">
        <f>SUM(M99:M103)</f>
        <v>724.75505542655924</v>
      </c>
      <c r="N104" s="27">
        <f>SUM(N99:N103)</f>
        <v>735.53246124683506</v>
      </c>
      <c r="O104" s="27">
        <f>SUM(O99:O103)</f>
        <v>744.14015309162494</v>
      </c>
      <c r="P104" s="81"/>
      <c r="Q104" s="81"/>
      <c r="R104" s="81"/>
      <c r="S104" s="81"/>
      <c r="T104" s="81"/>
      <c r="U104" s="81"/>
      <c r="V104" s="81"/>
      <c r="W104" s="81"/>
      <c r="X104" s="81"/>
      <c r="Y104" s="81"/>
    </row>
    <row r="105" spans="1:25">
      <c r="A105" s="81"/>
      <c r="B105" s="81" t="s">
        <v>65</v>
      </c>
      <c r="C105" s="81" t="s">
        <v>142</v>
      </c>
      <c r="D105" s="15">
        <f>'Historical Financials'!D50/1000</f>
        <v>0</v>
      </c>
      <c r="E105" s="15">
        <f>'Historical Financials'!E50/1000</f>
        <v>0</v>
      </c>
      <c r="F105" s="15">
        <f>'Historical Financials'!F50/1000</f>
        <v>0</v>
      </c>
      <c r="G105" s="15">
        <f>'Historical Financials'!G50/1000</f>
        <v>40.197000000000003</v>
      </c>
      <c r="H105" s="15">
        <f>'Historical Financials'!H50/1000</f>
        <v>205.49100000000001</v>
      </c>
      <c r="I105" s="15">
        <f>'Historical Financials'!I50/1000</f>
        <v>655.49599999999998</v>
      </c>
      <c r="J105" s="15">
        <f>'Historical Financials'!J50/1000</f>
        <v>500.55399999999997</v>
      </c>
      <c r="K105" s="26">
        <f>J105*0.9</f>
        <v>450.49860000000001</v>
      </c>
      <c r="L105" s="26">
        <f>K105*0.9</f>
        <v>405.44874000000004</v>
      </c>
      <c r="M105" s="26">
        <f>L105*0.9</f>
        <v>364.90386600000005</v>
      </c>
      <c r="N105" s="26">
        <f>M105*0.9</f>
        <v>328.41347940000003</v>
      </c>
      <c r="O105" s="26">
        <f>N105*0.9</f>
        <v>295.57213146000004</v>
      </c>
      <c r="P105" s="81"/>
      <c r="Q105" s="81"/>
      <c r="R105" s="81"/>
      <c r="S105" s="81"/>
      <c r="T105" s="81"/>
      <c r="U105" s="81"/>
      <c r="V105" s="81"/>
      <c r="W105" s="81"/>
      <c r="X105" s="81"/>
      <c r="Y105" s="81"/>
    </row>
    <row r="106" spans="1:25">
      <c r="A106" s="81"/>
      <c r="B106" s="81" t="s">
        <v>173</v>
      </c>
      <c r="C106" s="81" t="s">
        <v>142</v>
      </c>
      <c r="D106" s="15">
        <f>'Historical Financials'!D51/1000</f>
        <v>208.05199999999999</v>
      </c>
      <c r="E106" s="15">
        <f>'Historical Financials'!E51/1000</f>
        <v>192.441</v>
      </c>
      <c r="F106" s="15">
        <f>'Historical Financials'!F51/1000</f>
        <v>181.06700000000001</v>
      </c>
      <c r="G106" s="15">
        <f>'Historical Financials'!G51/1000</f>
        <v>175.33</v>
      </c>
      <c r="H106" s="15">
        <f>'Historical Financials'!H51/1000</f>
        <v>216.58099999999999</v>
      </c>
      <c r="I106" s="15">
        <f>'Historical Financials'!I51/1000</f>
        <v>380.15800000000002</v>
      </c>
      <c r="J106" s="15">
        <f>'Historical Financials'!J51/1000</f>
        <v>391.03500000000003</v>
      </c>
      <c r="K106" s="26">
        <f>J106*1.02</f>
        <v>398.85570000000001</v>
      </c>
      <c r="L106" s="26">
        <f>K106*1.02</f>
        <v>406.83281400000004</v>
      </c>
      <c r="M106" s="26">
        <f>L106*1.02</f>
        <v>414.96947028000005</v>
      </c>
      <c r="N106" s="26">
        <f>M106*1.02</f>
        <v>423.26885968560003</v>
      </c>
      <c r="O106" s="26">
        <f>N106*1.02</f>
        <v>431.73423687931205</v>
      </c>
      <c r="P106" s="81"/>
      <c r="Q106" s="81"/>
      <c r="R106" s="81"/>
      <c r="S106" s="81"/>
      <c r="T106" s="81"/>
      <c r="U106" s="81"/>
      <c r="V106" s="81"/>
      <c r="W106" s="81"/>
      <c r="X106" s="81"/>
      <c r="Y106" s="81"/>
    </row>
    <row r="107" spans="1:25">
      <c r="A107" s="81"/>
      <c r="B107" s="81" t="s">
        <v>174</v>
      </c>
      <c r="C107" s="81" t="s">
        <v>142</v>
      </c>
      <c r="D107" s="15">
        <f>'Historical Financials'!D52/1000-SUM(D105:D106)</f>
        <v>0</v>
      </c>
      <c r="E107" s="15">
        <f>'Historical Financials'!E52/1000-SUM(E105:E106)</f>
        <v>0</v>
      </c>
      <c r="F107" s="15">
        <f>'Historical Financials'!F52/1000-SUM(F105:F106)</f>
        <v>0</v>
      </c>
      <c r="G107" s="15">
        <f>'Historical Financials'!G52/1000-SUM(G105:G106)</f>
        <v>0</v>
      </c>
      <c r="H107" s="15">
        <f>'Historical Financials'!H52/1000-SUM(H105:H106)</f>
        <v>0</v>
      </c>
      <c r="I107" s="15">
        <f>'Historical Financials'!I52/1000-SUM(I105:I106)</f>
        <v>0</v>
      </c>
      <c r="J107" s="15">
        <f>'Historical Financials'!J52/1000-SUM(J105:J106)</f>
        <v>0</v>
      </c>
      <c r="K107" s="26">
        <f>0</f>
        <v>0</v>
      </c>
      <c r="L107" s="26">
        <f>0</f>
        <v>0</v>
      </c>
      <c r="M107" s="26">
        <f>0</f>
        <v>0</v>
      </c>
      <c r="N107" s="26">
        <f>0</f>
        <v>0</v>
      </c>
      <c r="O107" s="26">
        <f>0</f>
        <v>0</v>
      </c>
      <c r="P107" s="81"/>
      <c r="Q107" s="81"/>
      <c r="R107" s="81"/>
      <c r="S107" s="81"/>
      <c r="T107" s="81"/>
      <c r="U107" s="81"/>
      <c r="V107" s="81"/>
      <c r="W107" s="81"/>
      <c r="X107" s="81"/>
      <c r="Y107" s="81"/>
    </row>
    <row r="108" spans="1:25">
      <c r="A108" s="81"/>
      <c r="B108" s="81" t="s">
        <v>67</v>
      </c>
      <c r="C108" s="81" t="s">
        <v>142</v>
      </c>
      <c r="D108" s="15">
        <f>SUM(D105:D107)</f>
        <v>208.05199999999999</v>
      </c>
      <c r="E108" s="15">
        <f>SUM(E105:E107)</f>
        <v>192.441</v>
      </c>
      <c r="F108" s="15">
        <f>SUM(F105:F107)</f>
        <v>181.06700000000001</v>
      </c>
      <c r="G108" s="15">
        <f>SUM(G105:G107)</f>
        <v>215.52700000000002</v>
      </c>
      <c r="H108" s="15">
        <f>SUM(H105:H107)</f>
        <v>422.072</v>
      </c>
      <c r="I108" s="15">
        <f>SUM(I105:I107)</f>
        <v>1035.654</v>
      </c>
      <c r="J108" s="15">
        <f>SUM(J105:J107)</f>
        <v>891.58899999999994</v>
      </c>
      <c r="K108" s="26">
        <f>SUM(K105:K107)</f>
        <v>849.35429999999997</v>
      </c>
      <c r="L108" s="26">
        <f>SUM(L105:L107)</f>
        <v>812.28155400000014</v>
      </c>
      <c r="M108" s="26">
        <f>SUM(M105:M107)</f>
        <v>779.8733362800001</v>
      </c>
      <c r="N108" s="26">
        <f>SUM(N105:N107)</f>
        <v>751.68233908560001</v>
      </c>
      <c r="O108" s="26">
        <f>SUM(O105:O107)</f>
        <v>727.30636833931203</v>
      </c>
      <c r="P108" s="81"/>
      <c r="Q108" s="81"/>
      <c r="R108" s="81"/>
      <c r="S108" s="81"/>
      <c r="T108" s="81"/>
      <c r="U108" s="81"/>
      <c r="V108" s="81"/>
      <c r="W108" s="81"/>
      <c r="X108" s="81"/>
      <c r="Y108" s="81"/>
    </row>
    <row r="109" spans="1:25">
      <c r="A109" s="81"/>
      <c r="B109" s="24" t="s">
        <v>175</v>
      </c>
      <c r="C109" s="24" t="s">
        <v>142</v>
      </c>
      <c r="D109" s="25">
        <f>D104+D108</f>
        <v>376.00900000000001</v>
      </c>
      <c r="E109" s="25">
        <f>E104+E108</f>
        <v>375.73500000000001</v>
      </c>
      <c r="F109" s="25">
        <f>F104+F108</f>
        <v>430.42500000000001</v>
      </c>
      <c r="G109" s="25">
        <f>G104+G108</f>
        <v>673.04700000000003</v>
      </c>
      <c r="H109" s="25">
        <f>H104+H108</f>
        <v>951.22199999999998</v>
      </c>
      <c r="I109" s="25">
        <f>I104+I108</f>
        <v>1706.395</v>
      </c>
      <c r="J109" s="25">
        <f>J104+J108</f>
        <v>1538.0940000000001</v>
      </c>
      <c r="K109" s="27">
        <f>K104+K108</f>
        <v>1559.8506731857701</v>
      </c>
      <c r="L109" s="27">
        <f>L104+L108</f>
        <v>1528.9362893426585</v>
      </c>
      <c r="M109" s="27">
        <f>M104+M108</f>
        <v>1504.6283917065593</v>
      </c>
      <c r="N109" s="27">
        <f>N104+N108</f>
        <v>1487.2148003324351</v>
      </c>
      <c r="O109" s="27">
        <f>O104+O108</f>
        <v>1471.4465214309371</v>
      </c>
      <c r="P109" s="81"/>
      <c r="Q109" s="81"/>
      <c r="R109" s="81"/>
      <c r="S109" s="81"/>
      <c r="T109" s="81"/>
      <c r="U109" s="81"/>
      <c r="V109" s="81"/>
      <c r="W109" s="81"/>
      <c r="X109" s="81"/>
      <c r="Y109" s="81"/>
    </row>
    <row r="110" spans="1:25">
      <c r="A110" s="81"/>
      <c r="B110" s="81" t="s">
        <v>69</v>
      </c>
      <c r="C110" s="81" t="s">
        <v>142</v>
      </c>
      <c r="D110" s="15">
        <f>'Historical Financials'!D54/1000</f>
        <v>254.852</v>
      </c>
      <c r="E110" s="15">
        <f>'Historical Financials'!E54/1000</f>
        <v>254.852</v>
      </c>
      <c r="F110" s="15">
        <f>'Historical Financials'!F54/1000</f>
        <v>254.852</v>
      </c>
      <c r="G110" s="15">
        <f>'Historical Financials'!G54/1000</f>
        <v>254.852</v>
      </c>
      <c r="H110" s="15">
        <f>'Historical Financials'!H54/1000</f>
        <v>254.852</v>
      </c>
      <c r="I110" s="15">
        <f>'Historical Financials'!I54/1000</f>
        <v>254.852</v>
      </c>
      <c r="J110" s="15">
        <f>'Historical Financials'!J54/1000</f>
        <v>254.852</v>
      </c>
      <c r="K110" s="26">
        <f>J110</f>
        <v>254.852</v>
      </c>
      <c r="L110" s="26">
        <f>K110</f>
        <v>254.852</v>
      </c>
      <c r="M110" s="26">
        <f>L110</f>
        <v>254.852</v>
      </c>
      <c r="N110" s="26">
        <f>M110</f>
        <v>254.852</v>
      </c>
      <c r="O110" s="26">
        <f>N110</f>
        <v>254.852</v>
      </c>
      <c r="P110" s="81"/>
      <c r="Q110" s="81"/>
      <c r="R110" s="81"/>
      <c r="S110" s="81"/>
      <c r="T110" s="81"/>
      <c r="U110" s="81"/>
      <c r="V110" s="81"/>
      <c r="W110" s="81"/>
      <c r="X110" s="81"/>
      <c r="Y110" s="81"/>
    </row>
    <row r="111" spans="1:25">
      <c r="A111" s="81"/>
      <c r="B111" s="81" t="s">
        <v>70</v>
      </c>
      <c r="C111" s="81" t="s">
        <v>142</v>
      </c>
      <c r="D111" s="15">
        <f>'Historical Financials'!D55/1000</f>
        <v>2.7E-2</v>
      </c>
      <c r="E111" s="15">
        <f>'Historical Financials'!E55/1000</f>
        <v>2.7E-2</v>
      </c>
      <c r="F111" s="15">
        <f>'Historical Financials'!F55/1000</f>
        <v>2.7E-2</v>
      </c>
      <c r="G111" s="15">
        <f>'Historical Financials'!G55/1000</f>
        <v>2.7E-2</v>
      </c>
      <c r="H111" s="15">
        <f>'Historical Financials'!H55/1000</f>
        <v>2.7E-2</v>
      </c>
      <c r="I111" s="15">
        <f>'Historical Financials'!I55/1000</f>
        <v>2.7E-2</v>
      </c>
      <c r="J111" s="15">
        <f>'Historical Financials'!J55/1000</f>
        <v>2.7E-2</v>
      </c>
      <c r="K111" s="26">
        <f>J111</f>
        <v>2.7E-2</v>
      </c>
      <c r="L111" s="26">
        <f>K111</f>
        <v>2.7E-2</v>
      </c>
      <c r="M111" s="26">
        <f>L111</f>
        <v>2.7E-2</v>
      </c>
      <c r="N111" s="26">
        <f>M111</f>
        <v>2.7E-2</v>
      </c>
      <c r="O111" s="26">
        <f>N111</f>
        <v>2.7E-2</v>
      </c>
      <c r="P111" s="81"/>
      <c r="Q111" s="81"/>
      <c r="R111" s="81"/>
      <c r="S111" s="81"/>
      <c r="T111" s="81"/>
      <c r="U111" s="81"/>
      <c r="V111" s="81"/>
      <c r="W111" s="81"/>
      <c r="X111" s="81"/>
      <c r="Y111" s="81"/>
    </row>
    <row r="112" spans="1:25">
      <c r="A112" s="81"/>
      <c r="B112" s="81" t="s">
        <v>176</v>
      </c>
      <c r="C112" s="81" t="s">
        <v>142</v>
      </c>
      <c r="D112" s="15">
        <f>'Historical Financials'!D56/1000</f>
        <v>143.32400000000001</v>
      </c>
      <c r="E112" s="15">
        <f>'Historical Financials'!E56/1000</f>
        <v>121.67</v>
      </c>
      <c r="F112" s="15">
        <f>'Historical Financials'!F56/1000</f>
        <v>57.938000000000002</v>
      </c>
      <c r="G112" s="15">
        <f>'Historical Financials'!G56/1000</f>
        <v>42.476999999999997</v>
      </c>
      <c r="H112" s="15">
        <f>'Historical Financials'!H56/1000</f>
        <v>32.914000000000001</v>
      </c>
      <c r="I112" s="15">
        <f>'Historical Financials'!I56/1000</f>
        <v>10.798</v>
      </c>
      <c r="J112" s="15">
        <f>'Historical Financials'!J56/1000</f>
        <v>0</v>
      </c>
      <c r="K112" s="26">
        <f>J112</f>
        <v>0</v>
      </c>
      <c r="L112" s="26">
        <f>K112</f>
        <v>0</v>
      </c>
      <c r="M112" s="26">
        <f>L112</f>
        <v>0</v>
      </c>
      <c r="N112" s="26">
        <f>M112</f>
        <v>0</v>
      </c>
      <c r="O112" s="26">
        <f>N112</f>
        <v>0</v>
      </c>
      <c r="P112" s="81"/>
      <c r="Q112" s="81"/>
      <c r="R112" s="81"/>
      <c r="S112" s="81"/>
      <c r="T112" s="81"/>
      <c r="U112" s="81"/>
      <c r="V112" s="81"/>
      <c r="W112" s="81"/>
      <c r="X112" s="81"/>
      <c r="Y112" s="81"/>
    </row>
    <row r="113" spans="1:25">
      <c r="A113" s="81"/>
      <c r="B113" s="81" t="s">
        <v>72</v>
      </c>
      <c r="C113" s="81" t="s">
        <v>142</v>
      </c>
      <c r="D113" s="15">
        <f>'Historical Financials'!D57/1000</f>
        <v>2729.2890000000002</v>
      </c>
      <c r="E113" s="15">
        <f>'Historical Financials'!E57/1000</f>
        <v>2875.547</v>
      </c>
      <c r="F113" s="15">
        <f>'Historical Financials'!F57/1000</f>
        <v>3175.982</v>
      </c>
      <c r="G113" s="15">
        <f>'Historical Financials'!G57/1000</f>
        <v>3491.3440000000001</v>
      </c>
      <c r="H113" s="15">
        <f>'Historical Financials'!H57/1000</f>
        <v>3874.1089999999999</v>
      </c>
      <c r="I113" s="15">
        <f>'Historical Financials'!I57/1000</f>
        <v>4306.2510000000002</v>
      </c>
      <c r="J113" s="15">
        <f>'Historical Financials'!J57/1000</f>
        <v>4886.7150000000001</v>
      </c>
      <c r="K113" s="26">
        <f>J113+K66-K71</f>
        <v>5276.8570508092807</v>
      </c>
      <c r="L113" s="26">
        <f>K113+L66-L71</f>
        <v>5685.512257902411</v>
      </c>
      <c r="M113" s="26">
        <f>L113+M66-M71</f>
        <v>6118.7097762316516</v>
      </c>
      <c r="N113" s="26">
        <f>M113+N66-N71</f>
        <v>6575.5487123088187</v>
      </c>
      <c r="O113" s="26">
        <f>N113+O66-O71</f>
        <v>7060.8384882721512</v>
      </c>
      <c r="P113" s="81"/>
      <c r="Q113" s="81"/>
      <c r="R113" s="81"/>
      <c r="S113" s="81"/>
      <c r="T113" s="81"/>
      <c r="U113" s="81"/>
      <c r="V113" s="81"/>
      <c r="W113" s="81"/>
      <c r="X113" s="81"/>
      <c r="Y113" s="81"/>
    </row>
    <row r="114" spans="1:25">
      <c r="A114" s="81"/>
      <c r="B114" s="24" t="s">
        <v>177</v>
      </c>
      <c r="C114" s="24" t="s">
        <v>142</v>
      </c>
      <c r="D114" s="25">
        <f>SUM(D110:D113)</f>
        <v>3127.4920000000002</v>
      </c>
      <c r="E114" s="25">
        <f>SUM(E110:E113)</f>
        <v>3252.096</v>
      </c>
      <c r="F114" s="25">
        <f>SUM(F110:F113)</f>
        <v>3488.799</v>
      </c>
      <c r="G114" s="25">
        <f>SUM(G110:G113)</f>
        <v>3788.7</v>
      </c>
      <c r="H114" s="25">
        <f>SUM(H110:H113)</f>
        <v>4161.902</v>
      </c>
      <c r="I114" s="25">
        <f>SUM(I110:I113)</f>
        <v>4571.9279999999999</v>
      </c>
      <c r="J114" s="25">
        <f>SUM(J110:J113)</f>
        <v>5141.5940000000001</v>
      </c>
      <c r="K114" s="27">
        <f>SUM(K110:K113)</f>
        <v>5531.7360508092806</v>
      </c>
      <c r="L114" s="27">
        <f>SUM(L110:L113)</f>
        <v>5940.3912579024109</v>
      </c>
      <c r="M114" s="27">
        <f>SUM(M110:M113)</f>
        <v>6373.5887762316515</v>
      </c>
      <c r="N114" s="27">
        <f>SUM(N110:N113)</f>
        <v>6830.4277123088186</v>
      </c>
      <c r="O114" s="27">
        <f>SUM(O110:O113)</f>
        <v>7315.7174882721511</v>
      </c>
      <c r="P114" s="81"/>
      <c r="Q114" s="81"/>
      <c r="R114" s="81"/>
      <c r="S114" s="81"/>
      <c r="T114" s="81"/>
      <c r="U114" s="81"/>
      <c r="V114" s="81"/>
      <c r="W114" s="81"/>
      <c r="X114" s="81"/>
      <c r="Y114" s="81"/>
    </row>
    <row r="115" spans="1:25">
      <c r="A115" s="81"/>
      <c r="B115" s="24" t="s">
        <v>178</v>
      </c>
      <c r="C115" s="24" t="s">
        <v>142</v>
      </c>
      <c r="D115" s="25">
        <f>D109+D114</f>
        <v>3503.5010000000002</v>
      </c>
      <c r="E115" s="25">
        <f>E109+E114</f>
        <v>3627.8310000000001</v>
      </c>
      <c r="F115" s="25">
        <f>F109+F114</f>
        <v>3919.2240000000002</v>
      </c>
      <c r="G115" s="25">
        <f>G109+G114</f>
        <v>4461.7469999999994</v>
      </c>
      <c r="H115" s="25">
        <f>H109+H114</f>
        <v>5113.1239999999998</v>
      </c>
      <c r="I115" s="25">
        <f>I109+I114</f>
        <v>6278.3230000000003</v>
      </c>
      <c r="J115" s="25">
        <f>J109+J114</f>
        <v>6679.6880000000001</v>
      </c>
      <c r="K115" s="27">
        <f>K109+K114</f>
        <v>7091.5867239950512</v>
      </c>
      <c r="L115" s="27">
        <f>L109+L114</f>
        <v>7469.3275472450696</v>
      </c>
      <c r="M115" s="27">
        <f>M109+M114</f>
        <v>7878.2171679382109</v>
      </c>
      <c r="N115" s="27">
        <f>N109+N114</f>
        <v>8317.6425126412541</v>
      </c>
      <c r="O115" s="27">
        <f>O109+O114</f>
        <v>8787.1640097030886</v>
      </c>
      <c r="P115" s="81"/>
      <c r="Q115" s="81"/>
      <c r="R115" s="81"/>
      <c r="S115" s="81"/>
      <c r="T115" s="81"/>
      <c r="U115" s="81"/>
      <c r="V115" s="81"/>
      <c r="W115" s="81"/>
      <c r="X115" s="81"/>
      <c r="Y115" s="81"/>
    </row>
    <row r="116" spans="1:25">
      <c r="A116" s="81"/>
      <c r="B116" s="24" t="s">
        <v>179</v>
      </c>
      <c r="C116" s="24" t="s">
        <v>142</v>
      </c>
      <c r="D116" s="25">
        <f>D98-D115</f>
        <v>0</v>
      </c>
      <c r="E116" s="25">
        <f>E98-E115</f>
        <v>0</v>
      </c>
      <c r="F116" s="25">
        <f>F98-F115</f>
        <v>0</v>
      </c>
      <c r="G116" s="25">
        <f>G98-G115</f>
        <v>0</v>
      </c>
      <c r="H116" s="25">
        <f>H98-H115</f>
        <v>0</v>
      </c>
      <c r="I116" s="25">
        <f>I98-I115</f>
        <v>0</v>
      </c>
      <c r="J116" s="25">
        <f>J98-J115</f>
        <v>0</v>
      </c>
      <c r="K116" s="27">
        <f>K98-K115</f>
        <v>0</v>
      </c>
      <c r="L116" s="27">
        <f>L98-L115</f>
        <v>0</v>
      </c>
      <c r="M116" s="27">
        <f>M98-M115</f>
        <v>0</v>
      </c>
      <c r="N116" s="27">
        <f>N98-N115</f>
        <v>0</v>
      </c>
      <c r="O116" s="27">
        <f>O98-O115</f>
        <v>0</v>
      </c>
      <c r="P116" s="81"/>
      <c r="Q116" s="81"/>
      <c r="R116" s="81"/>
      <c r="S116" s="81"/>
      <c r="T116" s="81"/>
      <c r="U116" s="81"/>
      <c r="V116" s="81"/>
      <c r="W116" s="81"/>
      <c r="X116" s="81"/>
      <c r="Y116" s="81"/>
    </row>
    <row r="117" spans="1: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2"/>
      <c r="L117" s="82"/>
      <c r="M117" s="82"/>
      <c r="N117" s="82"/>
      <c r="O117" s="82"/>
      <c r="P117" s="81"/>
      <c r="Q117" s="81"/>
      <c r="R117" s="81"/>
      <c r="S117" s="81"/>
      <c r="T117" s="81"/>
      <c r="U117" s="81"/>
      <c r="V117" s="81"/>
      <c r="W117" s="81"/>
      <c r="X117" s="81"/>
      <c r="Y117" s="81"/>
    </row>
    <row r="118" spans="1: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2"/>
      <c r="L118" s="82"/>
      <c r="M118" s="82"/>
      <c r="N118" s="82"/>
      <c r="O118" s="82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spans="1: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2"/>
      <c r="L119" s="82"/>
      <c r="M119" s="82"/>
      <c r="N119" s="82"/>
      <c r="O119" s="82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spans="1:25" ht="20.100000000000001" customHeight="1">
      <c r="A120" s="81"/>
      <c r="B120" s="102" t="s">
        <v>180</v>
      </c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81"/>
      <c r="Q120" s="81"/>
      <c r="R120" s="81"/>
      <c r="S120" s="81"/>
      <c r="T120" s="81"/>
      <c r="U120" s="81"/>
      <c r="V120" s="81"/>
      <c r="W120" s="81"/>
      <c r="X120" s="81"/>
      <c r="Y120" s="81"/>
    </row>
    <row r="121" spans="1: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2"/>
      <c r="L121" s="82"/>
      <c r="M121" s="82"/>
      <c r="N121" s="82"/>
      <c r="O121" s="82"/>
      <c r="P121" s="81"/>
      <c r="Q121" s="81"/>
      <c r="R121" s="81"/>
      <c r="S121" s="81"/>
      <c r="T121" s="81"/>
      <c r="U121" s="81"/>
      <c r="V121" s="81"/>
      <c r="W121" s="81"/>
      <c r="X121" s="81"/>
      <c r="Y121" s="81"/>
    </row>
    <row r="122" spans="1: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2"/>
      <c r="L122" s="82"/>
      <c r="M122" s="82"/>
      <c r="N122" s="82"/>
      <c r="O122" s="82"/>
      <c r="P122" s="81"/>
      <c r="Q122" s="81"/>
      <c r="R122" s="81"/>
      <c r="S122" s="81"/>
      <c r="T122" s="81"/>
      <c r="U122" s="81"/>
      <c r="V122" s="81"/>
      <c r="W122" s="81"/>
      <c r="X122" s="81"/>
      <c r="Y122" s="81"/>
    </row>
    <row r="123" spans="1:25">
      <c r="A123" s="81"/>
      <c r="B123" s="81" t="s">
        <v>181</v>
      </c>
      <c r="C123" s="81" t="s">
        <v>142</v>
      </c>
      <c r="D123" s="15">
        <f>-('Historical Financials'!D69+'Historical Financials'!D70)/1000</f>
        <v>37.686999999999998</v>
      </c>
      <c r="E123" s="15">
        <f>-('Historical Financials'!E69+'Historical Financials'!E70)/1000</f>
        <v>50.051000000000002</v>
      </c>
      <c r="F123" s="15">
        <f>-('Historical Financials'!F69+'Historical Financials'!F70)/1000</f>
        <v>126.34099999999999</v>
      </c>
      <c r="G123" s="15">
        <f>-('Historical Financials'!G69+'Historical Financials'!G70)/1000</f>
        <v>181.226</v>
      </c>
      <c r="H123" s="15">
        <f>-('Historical Financials'!H69+'Historical Financials'!H70)/1000</f>
        <v>471.58199999999999</v>
      </c>
      <c r="I123" s="15">
        <f>-('Historical Financials'!I69+'Historical Financials'!I70)/1000</f>
        <v>706.827</v>
      </c>
      <c r="J123" s="15">
        <f>-('Historical Financials'!J69+'Historical Financials'!J70)/1000</f>
        <v>430.13499999999999</v>
      </c>
      <c r="K123" s="26">
        <f>K50*K27</f>
        <v>399.69983879999995</v>
      </c>
      <c r="L123" s="26">
        <f>L50*L27</f>
        <v>234.68881690999999</v>
      </c>
      <c r="M123" s="26">
        <f>M50*M27</f>
        <v>223.49216486501996</v>
      </c>
      <c r="N123" s="26">
        <f>N50*N27</f>
        <v>209.82724934337597</v>
      </c>
      <c r="O123" s="26">
        <f>O50*O27</f>
        <v>220.5781114280133</v>
      </c>
      <c r="P123" s="81"/>
      <c r="Q123" s="81"/>
      <c r="R123" s="81"/>
      <c r="S123" s="81"/>
      <c r="T123" s="81"/>
      <c r="U123" s="81"/>
      <c r="V123" s="81"/>
      <c r="W123" s="81"/>
      <c r="X123" s="81"/>
      <c r="Y123" s="81"/>
    </row>
    <row r="124" spans="1:25">
      <c r="A124" s="81"/>
      <c r="B124" s="81" t="s">
        <v>132</v>
      </c>
      <c r="C124" s="81" t="s">
        <v>123</v>
      </c>
      <c r="D124" s="14">
        <f>IFERROR(D123/D50,"")</f>
        <v>5.9773195876288654E-2</v>
      </c>
      <c r="E124" s="14">
        <f>IFERROR(E123/E50,"")</f>
        <v>7.329420482135901E-2</v>
      </c>
      <c r="F124" s="14">
        <f>IFERROR(F123/F50,"")</f>
        <v>0.13935878260025503</v>
      </c>
      <c r="G124" s="14">
        <f>IFERROR(G123/G50,"")</f>
        <v>0.1281056932407787</v>
      </c>
      <c r="H124" s="14">
        <f>IFERROR(H123/H50,"")</f>
        <v>0.2740253454065591</v>
      </c>
      <c r="I124" s="14">
        <f>IFERROR(I123/I50,"")</f>
        <v>0.34207127180512165</v>
      </c>
      <c r="J124" s="14">
        <f>IFERROR(J123/J50,"")</f>
        <v>0.20484082196347358</v>
      </c>
      <c r="K124" s="28">
        <f>IFERROR(K123/K50,"")</f>
        <v>0.18</v>
      </c>
      <c r="L124" s="28">
        <f>IFERROR(L123/L50,"")</f>
        <v>0.1</v>
      </c>
      <c r="M124" s="28">
        <f>IFERROR(M123/M50,"")</f>
        <v>0.09</v>
      </c>
      <c r="N124" s="28">
        <f>IFERROR(N123/N50,"")</f>
        <v>0.08</v>
      </c>
      <c r="O124" s="28">
        <f>IFERROR(O123/O50,"")</f>
        <v>0.08</v>
      </c>
      <c r="P124" s="81"/>
      <c r="Q124" s="81"/>
      <c r="R124" s="81"/>
      <c r="S124" s="81"/>
      <c r="T124" s="81"/>
      <c r="U124" s="81"/>
      <c r="V124" s="81"/>
      <c r="W124" s="81"/>
      <c r="X124" s="81"/>
      <c r="Y124" s="81"/>
    </row>
    <row r="125" spans="1:25">
      <c r="A125" s="81"/>
      <c r="B125" s="81" t="s">
        <v>36</v>
      </c>
      <c r="C125" s="81" t="s">
        <v>142</v>
      </c>
      <c r="D125" s="15">
        <f>D57</f>
        <v>54.706000000000003</v>
      </c>
      <c r="E125" s="15">
        <f>E57</f>
        <v>55.115000000000002</v>
      </c>
      <c r="F125" s="15">
        <f>F57</f>
        <v>61.261000000000003</v>
      </c>
      <c r="G125" s="15">
        <f>G57</f>
        <v>72.638000000000005</v>
      </c>
      <c r="H125" s="15">
        <f>H57</f>
        <v>83.875</v>
      </c>
      <c r="I125" s="15">
        <f>I57</f>
        <v>97.641000000000005</v>
      </c>
      <c r="J125" s="15">
        <f>J57</f>
        <v>154.34700000000001</v>
      </c>
      <c r="K125" s="26">
        <f>K57</f>
        <v>155.52523000000002</v>
      </c>
      <c r="L125" s="26">
        <f>L57</f>
        <v>172.61745261600001</v>
      </c>
      <c r="M125" s="26">
        <f>M57</f>
        <v>176.96244811657999</v>
      </c>
      <c r="N125" s="26">
        <f>N57</f>
        <v>175.07039890928587</v>
      </c>
      <c r="O125" s="26">
        <f>O57</f>
        <v>177.43386473880403</v>
      </c>
      <c r="P125" s="81"/>
      <c r="Q125" s="81"/>
      <c r="R125" s="81"/>
      <c r="S125" s="81"/>
      <c r="T125" s="81"/>
      <c r="U125" s="81"/>
      <c r="V125" s="81"/>
      <c r="W125" s="81"/>
      <c r="X125" s="81"/>
      <c r="Y125" s="81"/>
    </row>
    <row r="126" spans="1:25">
      <c r="A126" s="81"/>
      <c r="B126" s="81" t="s">
        <v>182</v>
      </c>
      <c r="C126" s="81" t="s">
        <v>142</v>
      </c>
      <c r="D126" s="15">
        <f>D89+D90-D99</f>
        <v>109.556</v>
      </c>
      <c r="E126" s="15">
        <f>E89+E90-E99</f>
        <v>116.333</v>
      </c>
      <c r="F126" s="15">
        <f>F89+F90-F99</f>
        <v>82.288999999999987</v>
      </c>
      <c r="G126" s="15">
        <f>G89+G90-G99</f>
        <v>156.233</v>
      </c>
      <c r="H126" s="15">
        <f>H89+H90-H99</f>
        <v>246.95400000000001</v>
      </c>
      <c r="I126" s="15">
        <f>I89+I90-I99</f>
        <v>312.83699999999993</v>
      </c>
      <c r="J126" s="15">
        <f>J89+J90-J99</f>
        <v>542.36</v>
      </c>
      <c r="K126" s="26">
        <f>K89+K90-K99</f>
        <v>569.67873523945195</v>
      </c>
      <c r="L126" s="26">
        <f>L89+L90-L99</f>
        <v>588.32949992506838</v>
      </c>
      <c r="M126" s="26">
        <f>M89+M90-M99</f>
        <v>607.20474015838749</v>
      </c>
      <c r="N126" s="26">
        <f>N89+N90-N99</f>
        <v>627.90085779534911</v>
      </c>
      <c r="O126" s="26">
        <f>O89+O90-O99</f>
        <v>652.51839949149962</v>
      </c>
      <c r="P126" s="81"/>
      <c r="Q126" s="81"/>
      <c r="R126" s="81"/>
      <c r="S126" s="81"/>
      <c r="T126" s="81"/>
      <c r="U126" s="81"/>
      <c r="V126" s="81"/>
      <c r="W126" s="81"/>
      <c r="X126" s="81"/>
      <c r="Y126" s="81"/>
    </row>
    <row r="127" spans="1:25">
      <c r="A127" s="81"/>
      <c r="B127" s="81" t="s">
        <v>183</v>
      </c>
      <c r="C127" s="81" t="s">
        <v>142</v>
      </c>
      <c r="D127" s="15">
        <v>0</v>
      </c>
      <c r="E127" s="15">
        <f>E126-D126</f>
        <v>6.777000000000001</v>
      </c>
      <c r="F127" s="15">
        <f>F126-E126</f>
        <v>-34.044000000000011</v>
      </c>
      <c r="G127" s="15">
        <f>G126-F126</f>
        <v>73.944000000000017</v>
      </c>
      <c r="H127" s="15">
        <f>H126-G126</f>
        <v>90.721000000000004</v>
      </c>
      <c r="I127" s="15">
        <f>I126-H126</f>
        <v>65.882999999999925</v>
      </c>
      <c r="J127" s="15">
        <f>J126-I126</f>
        <v>229.52300000000008</v>
      </c>
      <c r="K127" s="26">
        <f>K126-J126</f>
        <v>27.318735239451939</v>
      </c>
      <c r="L127" s="26">
        <f>L126-K126</f>
        <v>18.650764685616423</v>
      </c>
      <c r="M127" s="26">
        <f>M126-L126</f>
        <v>18.875240233319118</v>
      </c>
      <c r="N127" s="26">
        <f>N126-M126</f>
        <v>20.696117636961617</v>
      </c>
      <c r="O127" s="26">
        <f>O126-N126</f>
        <v>24.617541696150511</v>
      </c>
      <c r="P127" s="81"/>
      <c r="Q127" s="81"/>
      <c r="R127" s="81"/>
      <c r="S127" s="81"/>
      <c r="T127" s="81"/>
      <c r="U127" s="81"/>
      <c r="V127" s="81"/>
      <c r="W127" s="81"/>
      <c r="X127" s="81"/>
      <c r="Y127" s="81"/>
    </row>
    <row r="128" spans="1:25">
      <c r="A128" s="81"/>
      <c r="B128" s="81" t="s">
        <v>133</v>
      </c>
      <c r="C128" s="81" t="s">
        <v>134</v>
      </c>
      <c r="D128" s="15">
        <f>D28</f>
        <v>101.15854877081682</v>
      </c>
      <c r="E128" s="15">
        <f>E28</f>
        <v>104.47011764912619</v>
      </c>
      <c r="F128" s="15">
        <f>F28</f>
        <v>85.875177037419419</v>
      </c>
      <c r="G128" s="15">
        <f>G28</f>
        <v>94.736007238488398</v>
      </c>
      <c r="H128" s="15">
        <f>H28</f>
        <v>116.20703881534716</v>
      </c>
      <c r="I128" s="15">
        <f>I28</f>
        <v>102.64863779239852</v>
      </c>
      <c r="J128" s="15">
        <f>J28</f>
        <v>111.33868847774842</v>
      </c>
      <c r="K128" s="26">
        <f>K28</f>
        <v>112</v>
      </c>
      <c r="L128" s="26">
        <f>L28</f>
        <v>110</v>
      </c>
      <c r="M128" s="26">
        <f>M28</f>
        <v>108</v>
      </c>
      <c r="N128" s="26">
        <f>N28</f>
        <v>106</v>
      </c>
      <c r="O128" s="26">
        <f>O28</f>
        <v>105</v>
      </c>
      <c r="P128" s="81"/>
      <c r="Q128" s="81"/>
      <c r="R128" s="81"/>
      <c r="S128" s="81"/>
      <c r="T128" s="81"/>
      <c r="U128" s="81"/>
      <c r="V128" s="81"/>
      <c r="W128" s="81"/>
      <c r="X128" s="81"/>
      <c r="Y128" s="81"/>
    </row>
    <row r="129" spans="1:25">
      <c r="A129" s="81"/>
      <c r="B129" s="81" t="s">
        <v>135</v>
      </c>
      <c r="C129" s="81" t="s">
        <v>134</v>
      </c>
      <c r="D129" s="15">
        <f>D29</f>
        <v>65.374080814486319</v>
      </c>
      <c r="E129" s="15">
        <f>E29</f>
        <v>47.783424248164629</v>
      </c>
      <c r="F129" s="15">
        <f>F29</f>
        <v>41.261202297267822</v>
      </c>
      <c r="G129" s="15">
        <f>G29</f>
        <v>41.268775577345195</v>
      </c>
      <c r="H129" s="15">
        <f>H29</f>
        <v>44.910255270447813</v>
      </c>
      <c r="I129" s="15">
        <f>I29</f>
        <v>60.608978560336325</v>
      </c>
      <c r="J129" s="15">
        <f>J29</f>
        <v>77.903877502402352</v>
      </c>
      <c r="K129" s="26">
        <f>K29</f>
        <v>75</v>
      </c>
      <c r="L129" s="26">
        <f>L29</f>
        <v>75</v>
      </c>
      <c r="M129" s="26">
        <f>M29</f>
        <v>74</v>
      </c>
      <c r="N129" s="26">
        <f>N29</f>
        <v>74</v>
      </c>
      <c r="O129" s="26">
        <f>O29</f>
        <v>73</v>
      </c>
      <c r="P129" s="81"/>
      <c r="Q129" s="81"/>
      <c r="R129" s="81"/>
      <c r="S129" s="81"/>
      <c r="T129" s="81"/>
      <c r="U129" s="81"/>
      <c r="V129" s="81"/>
      <c r="W129" s="81"/>
      <c r="X129" s="81"/>
      <c r="Y129" s="81"/>
    </row>
    <row r="130" spans="1:25">
      <c r="A130" s="81"/>
      <c r="B130" s="81" t="s">
        <v>136</v>
      </c>
      <c r="C130" s="81" t="s">
        <v>134</v>
      </c>
      <c r="D130" s="15">
        <f>D30</f>
        <v>168.71605040155322</v>
      </c>
      <c r="E130" s="15">
        <f>E30</f>
        <v>159.42812573695139</v>
      </c>
      <c r="F130" s="15">
        <f>F30</f>
        <v>176.74537670602172</v>
      </c>
      <c r="G130" s="15">
        <f>G30</f>
        <v>175.29222796845164</v>
      </c>
      <c r="H130" s="15">
        <f>H30</f>
        <v>199.92609589611374</v>
      </c>
      <c r="I130" s="15">
        <f>I30</f>
        <v>176.24371305924103</v>
      </c>
      <c r="J130" s="15">
        <f>J30</f>
        <v>125.86159730828635</v>
      </c>
      <c r="K130" s="26">
        <f>K30</f>
        <v>126</v>
      </c>
      <c r="L130" s="26">
        <f>L30</f>
        <v>125</v>
      </c>
      <c r="M130" s="26">
        <f>M30</f>
        <v>124</v>
      </c>
      <c r="N130" s="26">
        <f>N30</f>
        <v>123</v>
      </c>
      <c r="O130" s="26">
        <f>O30</f>
        <v>122</v>
      </c>
      <c r="P130" s="81"/>
      <c r="Q130" s="81"/>
      <c r="R130" s="81"/>
      <c r="S130" s="81"/>
      <c r="T130" s="81"/>
      <c r="U130" s="81"/>
      <c r="V130" s="81"/>
      <c r="W130" s="81"/>
      <c r="X130" s="81"/>
      <c r="Y130" s="81"/>
    </row>
    <row r="131" spans="1:25">
      <c r="A131" s="81"/>
      <c r="B131" s="81" t="s">
        <v>184</v>
      </c>
      <c r="C131" s="81" t="s">
        <v>142</v>
      </c>
      <c r="D131" s="15">
        <f>D102+D105-D87-D88</f>
        <v>-721.32600000000002</v>
      </c>
      <c r="E131" s="15">
        <f>E102+E105-E87-E88</f>
        <v>-819.73599999999999</v>
      </c>
      <c r="F131" s="15">
        <f>F102+F105-F87-F88</f>
        <v>-980.75099999999998</v>
      </c>
      <c r="G131" s="15">
        <f>G102+G105-G87-G88</f>
        <v>-226.541</v>
      </c>
      <c r="H131" s="15">
        <f>H102+H105-H87-H88</f>
        <v>-97.78</v>
      </c>
      <c r="I131" s="15">
        <f>I102+I105-I87-I88</f>
        <v>-91.981999999999914</v>
      </c>
      <c r="J131" s="15">
        <f>J102+J105-J87-J88</f>
        <v>-235.90300000000013</v>
      </c>
      <c r="K131" s="26">
        <f>K102+K105-K87-K88</f>
        <v>-351.68859767587321</v>
      </c>
      <c r="L131" s="26">
        <f>L102+L105-L87-L88</f>
        <v>-621.5200433178311</v>
      </c>
      <c r="M131" s="26">
        <f>M102+M105-M87-M88</f>
        <v>-930.99868452863245</v>
      </c>
      <c r="N131" s="26">
        <f>N102+N105-N87-N88</f>
        <v>-1271.8408579706233</v>
      </c>
      <c r="O131" s="26">
        <f>O102+O105-O87-O88</f>
        <v>-1627.6497484411884</v>
      </c>
      <c r="P131" s="81"/>
      <c r="Q131" s="81"/>
      <c r="R131" s="81"/>
      <c r="S131" s="81"/>
      <c r="T131" s="81"/>
      <c r="U131" s="81"/>
      <c r="V131" s="81"/>
      <c r="W131" s="81"/>
      <c r="X131" s="81"/>
      <c r="Y131" s="81"/>
    </row>
    <row r="132" spans="1:25">
      <c r="A132" s="81"/>
      <c r="B132" s="81" t="s">
        <v>185</v>
      </c>
      <c r="C132" s="81" t="s">
        <v>142</v>
      </c>
      <c r="D132" s="15">
        <f>D126+D93+D95</f>
        <v>1082.309</v>
      </c>
      <c r="E132" s="15">
        <f>E126+E93+E95</f>
        <v>1053.079</v>
      </c>
      <c r="F132" s="15">
        <f>F126+F93+F95</f>
        <v>1073.6880000000001</v>
      </c>
      <c r="G132" s="15">
        <f>G126+G93+G95</f>
        <v>1204.42</v>
      </c>
      <c r="H132" s="15">
        <f>H126+H93+H95</f>
        <v>1659.7619999999999</v>
      </c>
      <c r="I132" s="15">
        <f>I126+I93+I95</f>
        <v>2330.194</v>
      </c>
      <c r="J132" s="15">
        <f>J126+J93+J95</f>
        <v>2819.0920000000006</v>
      </c>
      <c r="K132" s="26">
        <f>K126+K93+K95</f>
        <v>3090.285344039452</v>
      </c>
      <c r="L132" s="26">
        <f>L126+L93+L95</f>
        <v>3170.7074730190679</v>
      </c>
      <c r="M132" s="26">
        <f>M126+M93+M95</f>
        <v>3235.8124300008271</v>
      </c>
      <c r="N132" s="26">
        <f>N126+N93+N95</f>
        <v>3290.9653980718786</v>
      </c>
      <c r="O132" s="26">
        <f>O126+O93+O95</f>
        <v>3358.4271864572388</v>
      </c>
      <c r="P132" s="81"/>
      <c r="Q132" s="81"/>
      <c r="R132" s="81"/>
      <c r="S132" s="81"/>
      <c r="T132" s="81"/>
      <c r="U132" s="81"/>
      <c r="V132" s="81"/>
      <c r="W132" s="81"/>
      <c r="X132" s="81"/>
      <c r="Y132" s="81"/>
    </row>
    <row r="133" spans="1:25">
      <c r="A133" s="81"/>
      <c r="B133" s="81" t="s">
        <v>186</v>
      </c>
      <c r="C133" s="81" t="s">
        <v>142</v>
      </c>
      <c r="D133" s="15">
        <f>D55*(1-Assumptions_Log!$D$12)</f>
        <v>172.36604</v>
      </c>
      <c r="E133" s="15">
        <f>E55*(1-Assumptions_Log!$D$12)</f>
        <v>182.79723000000001</v>
      </c>
      <c r="F133" s="15">
        <f>F55*(1-Assumptions_Log!$D$12)</f>
        <v>222.94811000000004</v>
      </c>
      <c r="G133" s="15">
        <f>G55*(1-Assumptions_Log!$D$12)</f>
        <v>441.64967000000001</v>
      </c>
      <c r="H133" s="15">
        <f>H55*(1-Assumptions_Log!$D$12)</f>
        <v>522.81306000000006</v>
      </c>
      <c r="I133" s="15">
        <f>I55*(1-Assumptions_Log!$D$12)</f>
        <v>653.31882000000007</v>
      </c>
      <c r="J133" s="15">
        <f>J55*(1-Assumptions_Log!$D$12)</f>
        <v>702.73048999999992</v>
      </c>
      <c r="K133" s="26">
        <f>K55*(1-Assumptions_Log!$D$12)</f>
        <v>735.22564792599997</v>
      </c>
      <c r="L133" s="26">
        <f>L55*(1-Assumptions_Log!$D$12)</f>
        <v>762.59784166735392</v>
      </c>
      <c r="M133" s="26">
        <f>M55*(1-Assumptions_Log!$D$12)</f>
        <v>803.08184574830523</v>
      </c>
      <c r="N133" s="26">
        <f>N55*(1-Assumptions_Log!$D$12)</f>
        <v>842.16789364580734</v>
      </c>
      <c r="O133" s="26">
        <f>O55*(1-Assumptions_Log!$D$12)</f>
        <v>891.68701544774376</v>
      </c>
      <c r="P133" s="81"/>
      <c r="Q133" s="81"/>
      <c r="R133" s="81"/>
      <c r="S133" s="81"/>
      <c r="T133" s="81"/>
      <c r="U133" s="81"/>
      <c r="V133" s="81"/>
      <c r="W133" s="81"/>
      <c r="X133" s="81"/>
      <c r="Y133" s="81"/>
    </row>
    <row r="134" spans="1:25">
      <c r="A134" s="81"/>
      <c r="B134" s="81" t="s">
        <v>187</v>
      </c>
      <c r="C134" s="81" t="s">
        <v>123</v>
      </c>
      <c r="D134" s="14">
        <f>IFERROR(D133/D132,"")</f>
        <v>0.15925769812502713</v>
      </c>
      <c r="E134" s="14">
        <f>IFERROR(E133/AVERAGE(D132,E132),"")</f>
        <v>0.17120750889299746</v>
      </c>
      <c r="F134" s="14">
        <f>IFERROR(F133/AVERAGE(E132,F132),"")</f>
        <v>0.20965917752156213</v>
      </c>
      <c r="G134" s="14">
        <f>IFERROR(G133/AVERAGE(F132,G132),"")</f>
        <v>0.38773374221064144</v>
      </c>
      <c r="H134" s="14">
        <f>IFERROR(H133/AVERAGE(G132,H132),"")</f>
        <v>0.3650697197314976</v>
      </c>
      <c r="I134" s="14">
        <f>IFERROR(I133/AVERAGE(H132,I132),"")</f>
        <v>0.32748171659035841</v>
      </c>
      <c r="J134" s="14">
        <f>IFERROR(J133/AVERAGE(I132,J132),"")</f>
        <v>0.27294288567385844</v>
      </c>
      <c r="K134" s="28">
        <f>IFERROR(K133/AVERAGE(J132,K132),"")</f>
        <v>0.24883354205416991</v>
      </c>
      <c r="L134" s="28">
        <f>IFERROR(L133/AVERAGE(K132,L132),"")</f>
        <v>0.24360284828617018</v>
      </c>
      <c r="M134" s="28">
        <f>IFERROR(M133/AVERAGE(L132,M132),"")</f>
        <v>0.25070767215434697</v>
      </c>
      <c r="N134" s="28">
        <f>IFERROR(N133/AVERAGE(M132,N132),"")</f>
        <v>0.25806543928108289</v>
      </c>
      <c r="O134" s="28">
        <f>IFERROR(O133/AVERAGE(N132,O132),"")</f>
        <v>0.26820104366296471</v>
      </c>
      <c r="P134" s="81"/>
      <c r="Q134" s="81"/>
      <c r="R134" s="81"/>
      <c r="S134" s="81"/>
      <c r="T134" s="81"/>
      <c r="U134" s="81"/>
      <c r="V134" s="81"/>
      <c r="W134" s="81"/>
      <c r="X134" s="81"/>
      <c r="Y134" s="81"/>
    </row>
    <row r="135" spans="1: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2"/>
      <c r="L135" s="82"/>
      <c r="M135" s="82"/>
      <c r="N135" s="82"/>
      <c r="O135" s="82"/>
      <c r="P135" s="81"/>
      <c r="Q135" s="81"/>
      <c r="R135" s="81"/>
      <c r="S135" s="81"/>
      <c r="T135" s="81"/>
      <c r="U135" s="81"/>
      <c r="V135" s="81"/>
      <c r="W135" s="81"/>
      <c r="X135" s="81"/>
      <c r="Y135" s="81"/>
    </row>
    <row r="136" spans="1: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2"/>
      <c r="L136" s="82"/>
      <c r="M136" s="82"/>
      <c r="N136" s="82"/>
      <c r="O136" s="82"/>
      <c r="P136" s="81"/>
      <c r="Q136" s="81"/>
      <c r="R136" s="81"/>
      <c r="S136" s="81"/>
      <c r="T136" s="81"/>
      <c r="U136" s="81"/>
      <c r="V136" s="81"/>
      <c r="W136" s="81"/>
      <c r="X136" s="81"/>
      <c r="Y136" s="81"/>
    </row>
    <row r="137" spans="1: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2"/>
      <c r="L137" s="82"/>
      <c r="M137" s="82"/>
      <c r="N137" s="82"/>
      <c r="O137" s="82"/>
      <c r="P137" s="81"/>
      <c r="Q137" s="81"/>
      <c r="R137" s="81"/>
      <c r="S137" s="81"/>
      <c r="T137" s="81"/>
      <c r="U137" s="81"/>
      <c r="V137" s="81"/>
      <c r="W137" s="81"/>
      <c r="X137" s="81"/>
      <c r="Y137" s="81"/>
    </row>
    <row r="138" spans="1:25" ht="20.100000000000001" customHeight="1">
      <c r="A138" s="81"/>
      <c r="B138" s="102" t="s">
        <v>188</v>
      </c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81"/>
      <c r="Q138" s="81"/>
      <c r="R138" s="81"/>
      <c r="S138" s="81"/>
      <c r="T138" s="81"/>
      <c r="U138" s="81"/>
      <c r="V138" s="81"/>
      <c r="W138" s="81"/>
      <c r="X138" s="81"/>
      <c r="Y138" s="81"/>
    </row>
    <row r="139" spans="1: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2"/>
      <c r="L139" s="82"/>
      <c r="M139" s="82"/>
      <c r="N139" s="82"/>
      <c r="O139" s="82"/>
      <c r="P139" s="81"/>
      <c r="Q139" s="81"/>
      <c r="R139" s="81"/>
      <c r="S139" s="81"/>
      <c r="T139" s="81"/>
      <c r="U139" s="81"/>
      <c r="V139" s="81"/>
      <c r="W139" s="81"/>
      <c r="X139" s="81"/>
      <c r="Y139" s="81"/>
    </row>
    <row r="140" spans="1: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2"/>
      <c r="L140" s="82"/>
      <c r="M140" s="82"/>
      <c r="N140" s="82"/>
      <c r="O140" s="82"/>
      <c r="P140" s="81"/>
      <c r="Q140" s="81"/>
      <c r="R140" s="81"/>
      <c r="S140" s="81"/>
      <c r="T140" s="81"/>
      <c r="U140" s="81"/>
      <c r="V140" s="81"/>
      <c r="W140" s="81"/>
      <c r="X140" s="81"/>
      <c r="Y140" s="81"/>
    </row>
    <row r="141" spans="1:25">
      <c r="A141" s="81"/>
      <c r="B141" s="81" t="s">
        <v>41</v>
      </c>
      <c r="C141" s="81" t="s">
        <v>142</v>
      </c>
      <c r="D141" s="15">
        <f>'Historical Financials'!D62/1000</f>
        <v>264.589</v>
      </c>
      <c r="E141" s="15">
        <f>'Historical Financials'!E62/1000</f>
        <v>324.654</v>
      </c>
      <c r="F141" s="15">
        <f>'Historical Financials'!F62/1000</f>
        <v>415.09899999999999</v>
      </c>
      <c r="G141" s="15">
        <f>'Historical Financials'!G62/1000</f>
        <v>707.66399999999999</v>
      </c>
      <c r="H141" s="15">
        <f>'Historical Financials'!H62/1000</f>
        <v>816.01300000000003</v>
      </c>
      <c r="I141" s="15">
        <f>'Historical Financials'!I62/1000</f>
        <v>843.274</v>
      </c>
      <c r="J141" s="15">
        <f>'Historical Financials'!J62/1000</f>
        <v>1002.914</v>
      </c>
      <c r="K141" s="26">
        <f>K66</f>
        <v>812.79593918599994</v>
      </c>
      <c r="L141" s="26">
        <f>L66</f>
        <v>851.36501477735396</v>
      </c>
      <c r="M141" s="26">
        <f>M66</f>
        <v>902.4948298525851</v>
      </c>
      <c r="N141" s="26">
        <f>N66</f>
        <v>951.7477834940978</v>
      </c>
      <c r="O141" s="26">
        <f>O66</f>
        <v>1011.0203665902766</v>
      </c>
      <c r="P141" s="81"/>
      <c r="Q141" s="81"/>
      <c r="R141" s="81"/>
      <c r="S141" s="81"/>
      <c r="T141" s="81"/>
      <c r="U141" s="81"/>
      <c r="V141" s="81"/>
      <c r="W141" s="81"/>
      <c r="X141" s="81"/>
      <c r="Y141" s="81"/>
    </row>
    <row r="142" spans="1:25">
      <c r="A142" s="81"/>
      <c r="B142" s="81" t="s">
        <v>36</v>
      </c>
      <c r="C142" s="81" t="s">
        <v>142</v>
      </c>
      <c r="D142" s="15">
        <f>'Historical Financials'!D63/1000</f>
        <v>54.706000000000003</v>
      </c>
      <c r="E142" s="15">
        <f>'Historical Financials'!E63/1000</f>
        <v>55.115000000000002</v>
      </c>
      <c r="F142" s="15">
        <f>'Historical Financials'!F63/1000</f>
        <v>61.261000000000003</v>
      </c>
      <c r="G142" s="15">
        <f>'Historical Financials'!G63/1000</f>
        <v>72.638000000000005</v>
      </c>
      <c r="H142" s="15">
        <f>'Historical Financials'!H63/1000</f>
        <v>83.875</v>
      </c>
      <c r="I142" s="15">
        <f>'Historical Financials'!I63/1000</f>
        <v>97.641000000000005</v>
      </c>
      <c r="J142" s="15">
        <f>'Historical Financials'!J63/1000</f>
        <v>154.34700000000001</v>
      </c>
      <c r="K142" s="26">
        <f>K57</f>
        <v>155.52523000000002</v>
      </c>
      <c r="L142" s="26">
        <f>L57</f>
        <v>172.61745261600001</v>
      </c>
      <c r="M142" s="26">
        <f>M57</f>
        <v>176.96244811657999</v>
      </c>
      <c r="N142" s="26">
        <f>N57</f>
        <v>175.07039890928587</v>
      </c>
      <c r="O142" s="26">
        <f>O57</f>
        <v>177.43386473880403</v>
      </c>
      <c r="P142" s="81"/>
      <c r="Q142" s="81"/>
      <c r="R142" s="81"/>
      <c r="S142" s="81"/>
      <c r="T142" s="81"/>
      <c r="U142" s="81"/>
      <c r="V142" s="81"/>
      <c r="W142" s="81"/>
      <c r="X142" s="81"/>
      <c r="Y142" s="81"/>
    </row>
    <row r="143" spans="1:25">
      <c r="A143" s="81"/>
      <c r="B143" s="81" t="s">
        <v>189</v>
      </c>
      <c r="C143" s="81" t="s">
        <v>142</v>
      </c>
      <c r="D143" s="15">
        <f>-D61</f>
        <v>50.338000000000001</v>
      </c>
      <c r="E143" s="15">
        <f>-E61</f>
        <v>41.198999999999998</v>
      </c>
      <c r="F143" s="15">
        <f>-F61</f>
        <v>-9.9420000000000002</v>
      </c>
      <c r="G143" s="15">
        <f>-G61</f>
        <v>-22.673999999999999</v>
      </c>
      <c r="H143" s="15">
        <f>-H61</f>
        <v>-24.140999999999998</v>
      </c>
      <c r="I143" s="15">
        <f>-I61</f>
        <v>36.084000000000003</v>
      </c>
      <c r="J143" s="15">
        <f>-J61</f>
        <v>-121.23399999999999</v>
      </c>
      <c r="K143" s="26">
        <f>-K61</f>
        <v>0</v>
      </c>
      <c r="L143" s="26">
        <f>-L61</f>
        <v>0</v>
      </c>
      <c r="M143" s="26">
        <f>-M61</f>
        <v>0</v>
      </c>
      <c r="N143" s="26">
        <f>-N61</f>
        <v>0</v>
      </c>
      <c r="O143" s="26">
        <f>-O61</f>
        <v>0</v>
      </c>
      <c r="P143" s="81"/>
      <c r="Q143" s="81"/>
      <c r="R143" s="81"/>
      <c r="S143" s="81"/>
      <c r="T143" s="81"/>
      <c r="U143" s="81"/>
      <c r="V143" s="81"/>
      <c r="W143" s="81"/>
      <c r="X143" s="81"/>
      <c r="Y143" s="81"/>
    </row>
    <row r="144" spans="1:25">
      <c r="A144" s="81"/>
      <c r="B144" s="81" t="s">
        <v>190</v>
      </c>
      <c r="C144" s="81" t="s">
        <v>142</v>
      </c>
      <c r="D144" s="15">
        <f>-D127</f>
        <v>0</v>
      </c>
      <c r="E144" s="15">
        <f>-E127</f>
        <v>-6.777000000000001</v>
      </c>
      <c r="F144" s="15">
        <f>-F127</f>
        <v>34.044000000000011</v>
      </c>
      <c r="G144" s="15">
        <f>-G127</f>
        <v>-73.944000000000017</v>
      </c>
      <c r="H144" s="15">
        <f>-H127</f>
        <v>-90.721000000000004</v>
      </c>
      <c r="I144" s="15">
        <f>-I127</f>
        <v>-65.882999999999925</v>
      </c>
      <c r="J144" s="15">
        <f>-J127</f>
        <v>-229.52300000000008</v>
      </c>
      <c r="K144" s="26">
        <f>-K127</f>
        <v>-27.318735239451939</v>
      </c>
      <c r="L144" s="26">
        <f>-L127</f>
        <v>-18.650764685616423</v>
      </c>
      <c r="M144" s="26">
        <f>-M127</f>
        <v>-18.875240233319118</v>
      </c>
      <c r="N144" s="26">
        <f>-N127</f>
        <v>-20.696117636961617</v>
      </c>
      <c r="O144" s="26">
        <f>-O127</f>
        <v>-24.617541696150511</v>
      </c>
      <c r="P144" s="81"/>
      <c r="Q144" s="81"/>
      <c r="R144" s="81"/>
      <c r="S144" s="81"/>
      <c r="T144" s="81"/>
      <c r="U144" s="81"/>
      <c r="V144" s="81"/>
      <c r="W144" s="81"/>
      <c r="X144" s="81"/>
      <c r="Y144" s="81"/>
    </row>
    <row r="145" spans="1:25">
      <c r="A145" s="81"/>
      <c r="B145" s="24" t="s">
        <v>191</v>
      </c>
      <c r="C145" s="24" t="s">
        <v>142</v>
      </c>
      <c r="D145" s="25">
        <f>'Historical Financials'!D68/1000</f>
        <v>411.404</v>
      </c>
      <c r="E145" s="25">
        <f>'Historical Financials'!E68/1000</f>
        <v>389.68599999999998</v>
      </c>
      <c r="F145" s="25">
        <f>'Historical Financials'!F68/1000</f>
        <v>487.75299999999999</v>
      </c>
      <c r="G145" s="25">
        <f>'Historical Financials'!G68/1000</f>
        <v>706.03200000000004</v>
      </c>
      <c r="H145" s="25">
        <f>'Historical Financials'!H68/1000</f>
        <v>739.16300000000001</v>
      </c>
      <c r="I145" s="25">
        <f>'Historical Financials'!I68/1000</f>
        <v>931.04100000000005</v>
      </c>
      <c r="J145" s="25">
        <f>'Historical Financials'!J68/1000</f>
        <v>920.173</v>
      </c>
      <c r="K145" s="27">
        <f>SUM(K141:K144)</f>
        <v>941.00243394654797</v>
      </c>
      <c r="L145" s="27">
        <f>SUM(L141:L144)</f>
        <v>1005.3317027077376</v>
      </c>
      <c r="M145" s="27">
        <f>SUM(M141:M144)</f>
        <v>1060.5820377358459</v>
      </c>
      <c r="N145" s="27">
        <f>SUM(N141:N144)</f>
        <v>1106.122064766422</v>
      </c>
      <c r="O145" s="27">
        <f>SUM(O141:O144)</f>
        <v>1163.8366896329301</v>
      </c>
      <c r="P145" s="81"/>
      <c r="Q145" s="81"/>
      <c r="R145" s="81"/>
      <c r="S145" s="81"/>
      <c r="T145" s="81"/>
      <c r="U145" s="81"/>
      <c r="V145" s="81"/>
      <c r="W145" s="81"/>
      <c r="X145" s="81"/>
      <c r="Y145" s="81"/>
    </row>
    <row r="146" spans="1:25">
      <c r="A146" s="81"/>
      <c r="B146" s="81" t="s">
        <v>181</v>
      </c>
      <c r="C146" s="81" t="s">
        <v>142</v>
      </c>
      <c r="D146" s="15">
        <f>('Historical Financials'!D69+'Historical Financials'!D70)/1000</f>
        <v>-37.686999999999998</v>
      </c>
      <c r="E146" s="15">
        <f>('Historical Financials'!E69+'Historical Financials'!E70)/1000</f>
        <v>-50.051000000000002</v>
      </c>
      <c r="F146" s="15">
        <f>('Historical Financials'!F69+'Historical Financials'!F70)/1000</f>
        <v>-126.34099999999999</v>
      </c>
      <c r="G146" s="15">
        <f>('Historical Financials'!G69+'Historical Financials'!G70)/1000</f>
        <v>-181.226</v>
      </c>
      <c r="H146" s="15">
        <f>('Historical Financials'!H69+'Historical Financials'!H70)/1000</f>
        <v>-471.58199999999999</v>
      </c>
      <c r="I146" s="15">
        <f>('Historical Financials'!I69+'Historical Financials'!I70)/1000</f>
        <v>-706.827</v>
      </c>
      <c r="J146" s="15">
        <f>('Historical Financials'!J69+'Historical Financials'!J70)/1000</f>
        <v>-430.13499999999999</v>
      </c>
      <c r="K146" s="26">
        <f>-K123</f>
        <v>-399.69983879999995</v>
      </c>
      <c r="L146" s="26">
        <f>-L123</f>
        <v>-234.68881690999999</v>
      </c>
      <c r="M146" s="26">
        <f>-M123</f>
        <v>-223.49216486501996</v>
      </c>
      <c r="N146" s="26">
        <f>-N123</f>
        <v>-209.82724934337597</v>
      </c>
      <c r="O146" s="26">
        <f>-O123</f>
        <v>-220.5781114280133</v>
      </c>
      <c r="P146" s="81"/>
      <c r="Q146" s="81"/>
      <c r="R146" s="81"/>
      <c r="S146" s="81"/>
      <c r="T146" s="81"/>
      <c r="U146" s="81"/>
      <c r="V146" s="81"/>
      <c r="W146" s="81"/>
      <c r="X146" s="81"/>
      <c r="Y146" s="81"/>
    </row>
    <row r="147" spans="1:25">
      <c r="A147" s="81"/>
      <c r="B147" s="81" t="s">
        <v>192</v>
      </c>
      <c r="C147" s="81" t="s">
        <v>142</v>
      </c>
      <c r="D147" s="15">
        <f>'Historical Financials'!D76/1000</f>
        <v>0</v>
      </c>
      <c r="E147" s="15">
        <f>'Historical Financials'!E76/1000</f>
        <v>0</v>
      </c>
      <c r="F147" s="15">
        <f>'Historical Financials'!F76/1000</f>
        <v>0</v>
      </c>
      <c r="G147" s="15">
        <f>'Historical Financials'!G76/1000</f>
        <v>88.034999999999997</v>
      </c>
      <c r="H147" s="15">
        <f>'Historical Financials'!H76/1000</f>
        <v>186.297</v>
      </c>
      <c r="I147" s="15">
        <f>'Historical Financials'!I76/1000</f>
        <v>607.17700000000002</v>
      </c>
      <c r="J147" s="15">
        <f>'Historical Financials'!J76/1000</f>
        <v>-51.8</v>
      </c>
      <c r="K147" s="26">
        <f>(K102+K105)-(J102+J105)</f>
        <v>-77.7272999999999</v>
      </c>
      <c r="L147" s="26">
        <f>(L102+L105)-(K102+K105)</f>
        <v>-69.95456999999999</v>
      </c>
      <c r="M147" s="26">
        <f>(M102+M105)-(L102+L105)</f>
        <v>-62.959113000000002</v>
      </c>
      <c r="N147" s="26">
        <f>(N102+N105)-(M102+M105)</f>
        <v>-56.663201700000002</v>
      </c>
      <c r="O147" s="26">
        <f>(O102+O105)-(N102+N105)</f>
        <v>-50.996881529999996</v>
      </c>
      <c r="P147" s="81"/>
      <c r="Q147" s="81"/>
      <c r="R147" s="81"/>
      <c r="S147" s="81"/>
      <c r="T147" s="81"/>
      <c r="U147" s="81"/>
      <c r="V147" s="81"/>
      <c r="W147" s="81"/>
      <c r="X147" s="81"/>
      <c r="Y147" s="81"/>
    </row>
    <row r="148" spans="1:25">
      <c r="A148" s="81"/>
      <c r="B148" s="81" t="s">
        <v>89</v>
      </c>
      <c r="C148" s="81" t="s">
        <v>142</v>
      </c>
      <c r="D148" s="15">
        <f>'Historical Financials'!D77/1000</f>
        <v>-173.233</v>
      </c>
      <c r="E148" s="15">
        <f>'Historical Financials'!E77/1000</f>
        <v>-165.239</v>
      </c>
      <c r="F148" s="15">
        <f>'Historical Financials'!F77/1000</f>
        <v>-185.66499999999999</v>
      </c>
      <c r="G148" s="15">
        <f>'Historical Financials'!G77/1000</f>
        <v>-394.25299999999999</v>
      </c>
      <c r="H148" s="15">
        <f>'Historical Financials'!H77/1000</f>
        <v>-420.23</v>
      </c>
      <c r="I148" s="15">
        <f>'Historical Financials'!I77/1000</f>
        <v>-420.637</v>
      </c>
      <c r="J148" s="15">
        <f>'Historical Financials'!J77/1000</f>
        <v>-417.89100000000002</v>
      </c>
      <c r="K148" s="26">
        <f>-K71</f>
        <v>-422.65388837672003</v>
      </c>
      <c r="L148" s="26">
        <f>-L71</f>
        <v>-442.70980768422407</v>
      </c>
      <c r="M148" s="26">
        <f>-M71</f>
        <v>-469.29731152334426</v>
      </c>
      <c r="N148" s="26">
        <f>-N71</f>
        <v>-494.90884741693088</v>
      </c>
      <c r="O148" s="26">
        <f>-O71</f>
        <v>-525.73059062694381</v>
      </c>
      <c r="P148" s="81"/>
      <c r="Q148" s="81"/>
      <c r="R148" s="81"/>
      <c r="S148" s="81"/>
      <c r="T148" s="81"/>
      <c r="U148" s="81"/>
      <c r="V148" s="81"/>
      <c r="W148" s="81"/>
      <c r="X148" s="81"/>
      <c r="Y148" s="81"/>
    </row>
    <row r="149" spans="1:25">
      <c r="A149" s="81"/>
      <c r="B149" s="81" t="s">
        <v>92</v>
      </c>
      <c r="C149" s="81" t="s">
        <v>142</v>
      </c>
      <c r="D149" s="15">
        <f>'Historical Financials'!D80/1000</f>
        <v>177.22</v>
      </c>
      <c r="E149" s="15">
        <f>'Historical Financials'!E80/1000</f>
        <v>-213.941</v>
      </c>
      <c r="F149" s="15">
        <f>'Historical Financials'!F80/1000</f>
        <v>161.541</v>
      </c>
      <c r="G149" s="15">
        <f>'Historical Financials'!G80/1000</f>
        <v>-152.38499999999999</v>
      </c>
      <c r="H149" s="15">
        <f>'Historical Financials'!H80/1000</f>
        <v>102.203</v>
      </c>
      <c r="I149" s="15">
        <f>'Historical Financials'!I80/1000</f>
        <v>407.428</v>
      </c>
      <c r="J149" s="15">
        <f>'Historical Financials'!J80/1000</f>
        <v>-406.30599999999998</v>
      </c>
      <c r="K149" s="26">
        <f>SUM(K145:K148)</f>
        <v>40.921406769828081</v>
      </c>
      <c r="L149" s="26">
        <f>SUM(L145:L148)</f>
        <v>257.9785081135135</v>
      </c>
      <c r="M149" s="26">
        <f>SUM(M145:M148)</f>
        <v>304.83344834748169</v>
      </c>
      <c r="N149" s="26">
        <f>SUM(N145:N148)</f>
        <v>344.72276630611515</v>
      </c>
      <c r="O149" s="26">
        <f>SUM(O145:O148)</f>
        <v>366.53110604797303</v>
      </c>
      <c r="P149" s="81"/>
      <c r="Q149" s="81"/>
      <c r="R149" s="81"/>
      <c r="S149" s="81"/>
      <c r="T149" s="81"/>
      <c r="U149" s="81"/>
      <c r="V149" s="81"/>
      <c r="W149" s="81"/>
      <c r="X149" s="81"/>
      <c r="Y149" s="81"/>
    </row>
    <row r="150" spans="1:25">
      <c r="A150" s="81"/>
      <c r="B150" s="81" t="s">
        <v>94</v>
      </c>
      <c r="C150" s="81" t="s">
        <v>142</v>
      </c>
      <c r="D150" s="15">
        <f>'Historical Financials'!D82/1000</f>
        <v>220.036</v>
      </c>
      <c r="E150" s="15">
        <f>'Historical Financials'!E82/1000</f>
        <v>6.0949999999999998</v>
      </c>
      <c r="F150" s="15">
        <f>'Historical Financials'!F82/1000</f>
        <v>167.636</v>
      </c>
      <c r="G150" s="15">
        <f>'Historical Financials'!G82/1000</f>
        <v>15.250999999999999</v>
      </c>
      <c r="H150" s="15">
        <f>'Historical Financials'!H82/1000</f>
        <v>117.45399999999999</v>
      </c>
      <c r="I150" s="15">
        <f>'Historical Financials'!I82/1000</f>
        <v>524.88199999999995</v>
      </c>
      <c r="J150" s="15">
        <f>'Historical Financials'!J82/1000</f>
        <v>118.57599999999999</v>
      </c>
      <c r="K150" s="26">
        <f>K87</f>
        <v>159.49740676982807</v>
      </c>
      <c r="L150" s="26">
        <f>L87</f>
        <v>417.4759148833416</v>
      </c>
      <c r="M150" s="26">
        <f>M87</f>
        <v>722.30936323082324</v>
      </c>
      <c r="N150" s="26">
        <f>N87</f>
        <v>1067.0321295369383</v>
      </c>
      <c r="O150" s="26">
        <f>O87</f>
        <v>1433.5632355849114</v>
      </c>
      <c r="P150" s="81"/>
      <c r="Q150" s="81"/>
      <c r="R150" s="81"/>
      <c r="S150" s="81"/>
      <c r="T150" s="81"/>
      <c r="U150" s="81"/>
      <c r="V150" s="81"/>
      <c r="W150" s="81"/>
      <c r="X150" s="81"/>
      <c r="Y150" s="81"/>
    </row>
    <row r="151" spans="1:25">
      <c r="A151" s="81"/>
      <c r="B151" s="81" t="s">
        <v>193</v>
      </c>
      <c r="C151" s="81" t="s">
        <v>142</v>
      </c>
      <c r="D151" s="15">
        <f>D150-D87</f>
        <v>0</v>
      </c>
      <c r="E151" s="15">
        <f>E150-E87</f>
        <v>0</v>
      </c>
      <c r="F151" s="15">
        <f>F150-F87</f>
        <v>0</v>
      </c>
      <c r="G151" s="15">
        <f>G150-G87</f>
        <v>0</v>
      </c>
      <c r="H151" s="15">
        <f>H150-H87</f>
        <v>0</v>
      </c>
      <c r="I151" s="15">
        <f>I150-I87</f>
        <v>0</v>
      </c>
      <c r="J151" s="15">
        <f>J150-J87</f>
        <v>0</v>
      </c>
      <c r="K151" s="26">
        <f>K150-K87</f>
        <v>0</v>
      </c>
      <c r="L151" s="26">
        <f>L150-L87</f>
        <v>0</v>
      </c>
      <c r="M151" s="26">
        <f>M150-M87</f>
        <v>0</v>
      </c>
      <c r="N151" s="26">
        <f>N150-N87</f>
        <v>0</v>
      </c>
      <c r="O151" s="26">
        <f>O150-O87</f>
        <v>0</v>
      </c>
      <c r="P151" s="81"/>
      <c r="Q151" s="81"/>
      <c r="R151" s="81"/>
      <c r="S151" s="81"/>
      <c r="T151" s="81"/>
      <c r="U151" s="81"/>
      <c r="V151" s="81"/>
      <c r="W151" s="81"/>
      <c r="X151" s="81"/>
      <c r="Y151" s="81"/>
    </row>
    <row r="152" spans="1:25">
      <c r="A152" s="81"/>
      <c r="B152" s="81" t="s">
        <v>186</v>
      </c>
      <c r="C152" s="81" t="s">
        <v>142</v>
      </c>
      <c r="D152" s="15">
        <f>D133</f>
        <v>172.36604</v>
      </c>
      <c r="E152" s="15">
        <f>E133</f>
        <v>182.79723000000001</v>
      </c>
      <c r="F152" s="15">
        <f>F133</f>
        <v>222.94811000000004</v>
      </c>
      <c r="G152" s="15">
        <f>G133</f>
        <v>441.64967000000001</v>
      </c>
      <c r="H152" s="15">
        <f>H133</f>
        <v>522.81306000000006</v>
      </c>
      <c r="I152" s="15">
        <f>I133</f>
        <v>653.31882000000007</v>
      </c>
      <c r="J152" s="15">
        <f>J133</f>
        <v>702.73048999999992</v>
      </c>
      <c r="K152" s="26">
        <f>K133</f>
        <v>735.22564792599997</v>
      </c>
      <c r="L152" s="26">
        <f>L133</f>
        <v>762.59784166735392</v>
      </c>
      <c r="M152" s="26">
        <f>M133</f>
        <v>803.08184574830523</v>
      </c>
      <c r="N152" s="26">
        <f>N133</f>
        <v>842.16789364580734</v>
      </c>
      <c r="O152" s="26">
        <f>O133</f>
        <v>891.68701544774376</v>
      </c>
      <c r="P152" s="81"/>
      <c r="Q152" s="81"/>
      <c r="R152" s="81"/>
      <c r="S152" s="81"/>
      <c r="T152" s="81"/>
      <c r="U152" s="81"/>
      <c r="V152" s="81"/>
      <c r="W152" s="81"/>
      <c r="X152" s="81"/>
      <c r="Y152" s="81"/>
    </row>
    <row r="153" spans="1:25">
      <c r="A153" s="81"/>
      <c r="B153" s="81" t="s">
        <v>194</v>
      </c>
      <c r="C153" s="81" t="s">
        <v>142</v>
      </c>
      <c r="D153" s="15">
        <f>D57</f>
        <v>54.706000000000003</v>
      </c>
      <c r="E153" s="15">
        <f>E57</f>
        <v>55.115000000000002</v>
      </c>
      <c r="F153" s="15">
        <f>F57</f>
        <v>61.261000000000003</v>
      </c>
      <c r="G153" s="15">
        <f>G57</f>
        <v>72.638000000000005</v>
      </c>
      <c r="H153" s="15">
        <f>H57</f>
        <v>83.875</v>
      </c>
      <c r="I153" s="15">
        <f>I57</f>
        <v>97.641000000000005</v>
      </c>
      <c r="J153" s="15">
        <f>J57</f>
        <v>154.34700000000001</v>
      </c>
      <c r="K153" s="26">
        <f>K57</f>
        <v>155.52523000000002</v>
      </c>
      <c r="L153" s="26">
        <f>L57</f>
        <v>172.61745261600001</v>
      </c>
      <c r="M153" s="26">
        <f>M57</f>
        <v>176.96244811657999</v>
      </c>
      <c r="N153" s="26">
        <f>N57</f>
        <v>175.07039890928587</v>
      </c>
      <c r="O153" s="26">
        <f>O57</f>
        <v>177.43386473880403</v>
      </c>
      <c r="P153" s="81"/>
      <c r="Q153" s="81"/>
      <c r="R153" s="81"/>
      <c r="S153" s="81"/>
      <c r="T153" s="81"/>
      <c r="U153" s="81"/>
      <c r="V153" s="81"/>
      <c r="W153" s="81"/>
      <c r="X153" s="81"/>
      <c r="Y153" s="81"/>
    </row>
    <row r="154" spans="1:25">
      <c r="A154" s="81"/>
      <c r="B154" s="81" t="s">
        <v>195</v>
      </c>
      <c r="C154" s="81" t="s">
        <v>142</v>
      </c>
      <c r="D154" s="15">
        <f>-D123</f>
        <v>-37.686999999999998</v>
      </c>
      <c r="E154" s="15">
        <f>-E123</f>
        <v>-50.051000000000002</v>
      </c>
      <c r="F154" s="15">
        <f>-F123</f>
        <v>-126.34099999999999</v>
      </c>
      <c r="G154" s="15">
        <f>-G123</f>
        <v>-181.226</v>
      </c>
      <c r="H154" s="15">
        <f>-H123</f>
        <v>-471.58199999999999</v>
      </c>
      <c r="I154" s="15">
        <f>-I123</f>
        <v>-706.827</v>
      </c>
      <c r="J154" s="15">
        <f>-J123</f>
        <v>-430.13499999999999</v>
      </c>
      <c r="K154" s="26">
        <f>-K123</f>
        <v>-399.69983879999995</v>
      </c>
      <c r="L154" s="26">
        <f>-L123</f>
        <v>-234.68881690999999</v>
      </c>
      <c r="M154" s="26">
        <f>-M123</f>
        <v>-223.49216486501996</v>
      </c>
      <c r="N154" s="26">
        <f>-N123</f>
        <v>-209.82724934337597</v>
      </c>
      <c r="O154" s="26">
        <f>-O123</f>
        <v>-220.5781114280133</v>
      </c>
      <c r="P154" s="81"/>
      <c r="Q154" s="81"/>
      <c r="R154" s="81"/>
      <c r="S154" s="81"/>
      <c r="T154" s="81"/>
      <c r="U154" s="81"/>
      <c r="V154" s="81"/>
      <c r="W154" s="81"/>
      <c r="X154" s="81"/>
      <c r="Y154" s="81"/>
    </row>
    <row r="155" spans="1:25">
      <c r="A155" s="81"/>
      <c r="B155" s="81" t="s">
        <v>196</v>
      </c>
      <c r="C155" s="81" t="s">
        <v>142</v>
      </c>
      <c r="D155" s="15">
        <f>-D127</f>
        <v>0</v>
      </c>
      <c r="E155" s="15">
        <f>-E127</f>
        <v>-6.777000000000001</v>
      </c>
      <c r="F155" s="15">
        <f>-F127</f>
        <v>34.044000000000011</v>
      </c>
      <c r="G155" s="15">
        <f>-G127</f>
        <v>-73.944000000000017</v>
      </c>
      <c r="H155" s="15">
        <f>-H127</f>
        <v>-90.721000000000004</v>
      </c>
      <c r="I155" s="15">
        <f>-I127</f>
        <v>-65.882999999999925</v>
      </c>
      <c r="J155" s="15">
        <f>-J127</f>
        <v>-229.52300000000008</v>
      </c>
      <c r="K155" s="26">
        <f>-K127</f>
        <v>-27.318735239451939</v>
      </c>
      <c r="L155" s="26">
        <f>-L127</f>
        <v>-18.650764685616423</v>
      </c>
      <c r="M155" s="26">
        <f>-M127</f>
        <v>-18.875240233319118</v>
      </c>
      <c r="N155" s="26">
        <f>-N127</f>
        <v>-20.696117636961617</v>
      </c>
      <c r="O155" s="26">
        <f>-O127</f>
        <v>-24.617541696150511</v>
      </c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spans="1:25">
      <c r="A156" s="81"/>
      <c r="B156" s="24" t="s">
        <v>197</v>
      </c>
      <c r="C156" s="24" t="s">
        <v>142</v>
      </c>
      <c r="D156" s="25">
        <f>SUM(D152:D155)</f>
        <v>189.38504</v>
      </c>
      <c r="E156" s="25">
        <f>SUM(E152:E155)</f>
        <v>181.08423000000005</v>
      </c>
      <c r="F156" s="25">
        <f>SUM(F152:F155)</f>
        <v>191.91211000000007</v>
      </c>
      <c r="G156" s="25">
        <f>SUM(G152:G155)</f>
        <v>259.11767000000003</v>
      </c>
      <c r="H156" s="25">
        <f>SUM(H152:H155)</f>
        <v>44.385060000000067</v>
      </c>
      <c r="I156" s="25">
        <f>SUM(I152:I155)</f>
        <v>-21.750179999999887</v>
      </c>
      <c r="J156" s="25">
        <f>SUM(J152:J155)</f>
        <v>197.41948999999983</v>
      </c>
      <c r="K156" s="27">
        <f>SUM(K152:K155)</f>
        <v>463.73230388654804</v>
      </c>
      <c r="L156" s="27">
        <f>SUM(L152:L155)</f>
        <v>681.87571268773752</v>
      </c>
      <c r="M156" s="27">
        <f>SUM(M152:M155)</f>
        <v>737.6768887665462</v>
      </c>
      <c r="N156" s="27">
        <f>SUM(N152:N155)</f>
        <v>786.71492557475563</v>
      </c>
      <c r="O156" s="27">
        <f>SUM(O152:O155)</f>
        <v>823.92522706238401</v>
      </c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spans="1:25">
      <c r="A157" s="81"/>
      <c r="B157" s="81" t="s">
        <v>198</v>
      </c>
      <c r="C157" s="81" t="s">
        <v>199</v>
      </c>
      <c r="D157" s="15" t="s">
        <v>124</v>
      </c>
      <c r="E157" s="15" t="s">
        <v>124</v>
      </c>
      <c r="F157" s="15" t="s">
        <v>124</v>
      </c>
      <c r="G157" s="15" t="s">
        <v>124</v>
      </c>
      <c r="H157" s="15" t="s">
        <v>124</v>
      </c>
      <c r="I157" s="15" t="s">
        <v>124</v>
      </c>
      <c r="J157" s="15" t="s">
        <v>124</v>
      </c>
      <c r="K157" s="30">
        <f>1/(1+Assumptions_Log!$D$14)^1</f>
        <v>0.87180499814523493</v>
      </c>
      <c r="L157" s="30">
        <f>1/(1+Assumptions_Log!$D$14)^2</f>
        <v>0.76004395479101305</v>
      </c>
      <c r="M157" s="30">
        <f>1/(1+Assumptions_Log!$D$14)^3</f>
        <v>0.66261011859687613</v>
      </c>
      <c r="N157" s="30">
        <f>1/(1+Assumptions_Log!$D$14)^4</f>
        <v>0.57766681321436353</v>
      </c>
      <c r="O157" s="30">
        <f>1/(1+Assumptions_Log!$D$14)^5</f>
        <v>0.503612815022912</v>
      </c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spans="1:25">
      <c r="A158" s="81"/>
      <c r="B158" s="24" t="s">
        <v>200</v>
      </c>
      <c r="C158" s="24" t="s">
        <v>142</v>
      </c>
      <c r="D158" s="25" t="s">
        <v>124</v>
      </c>
      <c r="E158" s="25" t="s">
        <v>124</v>
      </c>
      <c r="F158" s="25" t="s">
        <v>124</v>
      </c>
      <c r="G158" s="25" t="s">
        <v>124</v>
      </c>
      <c r="H158" s="25" t="s">
        <v>124</v>
      </c>
      <c r="I158" s="25" t="s">
        <v>124</v>
      </c>
      <c r="J158" s="25" t="s">
        <v>124</v>
      </c>
      <c r="K158" s="27">
        <f>K156*K157</f>
        <v>404.28414032969755</v>
      </c>
      <c r="L158" s="27">
        <f>L156*L157</f>
        <v>518.25551334712861</v>
      </c>
      <c r="M158" s="27">
        <f>M156*M157</f>
        <v>488.79217075177576</v>
      </c>
      <c r="N158" s="27">
        <f>N156*N157</f>
        <v>454.45910396494429</v>
      </c>
      <c r="O158" s="27">
        <f>O156*O157</f>
        <v>414.93930296927914</v>
      </c>
      <c r="P158" s="81"/>
      <c r="Q158" s="81"/>
      <c r="R158" s="81"/>
      <c r="S158" s="81"/>
      <c r="T158" s="81"/>
      <c r="U158" s="81"/>
      <c r="V158" s="81"/>
      <c r="W158" s="81"/>
      <c r="X158" s="81"/>
      <c r="Y158" s="81"/>
    </row>
    <row r="159" spans="1:25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2"/>
      <c r="L159" s="82"/>
      <c r="M159" s="82"/>
      <c r="N159" s="82"/>
      <c r="O159" s="82"/>
      <c r="P159" s="81"/>
      <c r="Q159" s="81"/>
      <c r="R159" s="81"/>
      <c r="S159" s="81"/>
      <c r="T159" s="81"/>
      <c r="U159" s="81"/>
      <c r="V159" s="81"/>
      <c r="W159" s="81"/>
      <c r="X159" s="81"/>
      <c r="Y159" s="81"/>
    </row>
    <row r="160" spans="1:25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2"/>
      <c r="L160" s="82"/>
      <c r="M160" s="82"/>
      <c r="N160" s="82"/>
      <c r="O160" s="82"/>
      <c r="P160" s="81"/>
      <c r="Q160" s="81"/>
      <c r="R160" s="81"/>
      <c r="S160" s="81"/>
      <c r="T160" s="81"/>
      <c r="U160" s="81"/>
      <c r="V160" s="81"/>
      <c r="W160" s="81"/>
      <c r="X160" s="81"/>
      <c r="Y160" s="81"/>
    </row>
    <row r="161" spans="1:25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2"/>
      <c r="L161" s="82"/>
      <c r="M161" s="82"/>
      <c r="N161" s="82"/>
      <c r="O161" s="82"/>
      <c r="P161" s="81"/>
      <c r="Q161" s="81"/>
      <c r="R161" s="81"/>
      <c r="S161" s="81"/>
      <c r="T161" s="81"/>
      <c r="U161" s="81"/>
      <c r="V161" s="81"/>
      <c r="W161" s="81"/>
      <c r="X161" s="81"/>
      <c r="Y161" s="81"/>
    </row>
    <row r="162" spans="1:25" ht="20.100000000000001" customHeight="1">
      <c r="A162" s="81"/>
      <c r="B162" s="102" t="s">
        <v>201</v>
      </c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81"/>
      <c r="Q162" s="81"/>
      <c r="R162" s="81"/>
      <c r="S162" s="81"/>
      <c r="T162" s="81"/>
      <c r="U162" s="81"/>
      <c r="V162" s="81"/>
      <c r="W162" s="81"/>
      <c r="X162" s="81"/>
      <c r="Y162" s="81"/>
    </row>
    <row r="163" spans="1:25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2"/>
      <c r="L163" s="82"/>
      <c r="M163" s="82"/>
      <c r="N163" s="82"/>
      <c r="O163" s="82"/>
      <c r="P163" s="81"/>
      <c r="Q163" s="81"/>
      <c r="R163" s="81"/>
      <c r="S163" s="81"/>
      <c r="T163" s="81"/>
      <c r="U163" s="81"/>
      <c r="V163" s="81"/>
      <c r="W163" s="81"/>
      <c r="X163" s="81"/>
      <c r="Y163" s="81"/>
    </row>
    <row r="164" spans="1:25">
      <c r="A164" s="81"/>
      <c r="B164" s="81" t="s">
        <v>129</v>
      </c>
      <c r="C164" s="81" t="s">
        <v>123</v>
      </c>
      <c r="D164" s="14">
        <f>D53</f>
        <v>0.63484377478191911</v>
      </c>
      <c r="E164" s="14">
        <f>E53</f>
        <v>0.62121052369530139</v>
      </c>
      <c r="F164" s="14">
        <f>F53</f>
        <v>0.61069306013315872</v>
      </c>
      <c r="G164" s="14">
        <f>G53</f>
        <v>0.59390736996875571</v>
      </c>
      <c r="H164" s="14">
        <f>H53</f>
        <v>0.58823679808105211</v>
      </c>
      <c r="I164" s="14">
        <f>I53</f>
        <v>0.5901907502002357</v>
      </c>
      <c r="J164" s="14">
        <f>J53</f>
        <v>0.64417363144986539</v>
      </c>
      <c r="K164" s="28">
        <f>K53</f>
        <v>0.64</v>
      </c>
      <c r="L164" s="28">
        <f>L53</f>
        <v>0.63</v>
      </c>
      <c r="M164" s="28">
        <f>M53</f>
        <v>0.625</v>
      </c>
      <c r="N164" s="28">
        <f>N53</f>
        <v>0.62</v>
      </c>
      <c r="O164" s="28">
        <f>O53</f>
        <v>0.62</v>
      </c>
      <c r="P164" s="81"/>
      <c r="Q164" s="81"/>
      <c r="R164" s="81"/>
      <c r="S164" s="81"/>
      <c r="T164" s="81"/>
      <c r="U164" s="81"/>
      <c r="V164" s="81"/>
      <c r="W164" s="81"/>
      <c r="X164" s="81"/>
      <c r="Y164" s="81"/>
    </row>
    <row r="165" spans="1:25">
      <c r="A165" s="81"/>
      <c r="B165" s="81" t="s">
        <v>153</v>
      </c>
      <c r="C165" s="81" t="s">
        <v>123</v>
      </c>
      <c r="D165" s="14">
        <f>D59</f>
        <v>0.4418049167327518</v>
      </c>
      <c r="E165" s="14">
        <f>E59</f>
        <v>0.42835469878953486</v>
      </c>
      <c r="F165" s="14">
        <f>F59</f>
        <v>0.38694975005184284</v>
      </c>
      <c r="G165" s="14">
        <f>G59</f>
        <v>0.4567945654786309</v>
      </c>
      <c r="H165" s="14">
        <f>H59</f>
        <v>0.44327615731607617</v>
      </c>
      <c r="I165" s="14">
        <f>I59</f>
        <v>0.45787162170337048</v>
      </c>
      <c r="J165" s="14">
        <f>J59</f>
        <v>0.50812391361287712</v>
      </c>
      <c r="K165" s="28">
        <f>K59</f>
        <v>0.50003891090886277</v>
      </c>
      <c r="L165" s="28">
        <f>L59</f>
        <v>0.49555163100174321</v>
      </c>
      <c r="M165" s="28">
        <f>M59</f>
        <v>0.49126254443913603</v>
      </c>
      <c r="N165" s="28">
        <f>N59</f>
        <v>0.48374839400779196</v>
      </c>
      <c r="O165" s="28">
        <f>O59</f>
        <v>0.48435230171846327</v>
      </c>
      <c r="P165" s="81"/>
      <c r="Q165" s="81"/>
      <c r="R165" s="81"/>
      <c r="S165" s="81"/>
      <c r="T165" s="81"/>
      <c r="U165" s="81"/>
      <c r="V165" s="81"/>
      <c r="W165" s="81"/>
      <c r="X165" s="81"/>
      <c r="Y165" s="81"/>
    </row>
    <row r="166" spans="1:25">
      <c r="A166" s="81"/>
      <c r="B166" s="81" t="s">
        <v>151</v>
      </c>
      <c r="C166" s="81" t="s">
        <v>123</v>
      </c>
      <c r="D166" s="14">
        <f>D56</f>
        <v>0.35503885804916735</v>
      </c>
      <c r="E166" s="14">
        <f>E56</f>
        <v>0.34764482089040794</v>
      </c>
      <c r="F166" s="14">
        <f>F56</f>
        <v>0.31937660767625436</v>
      </c>
      <c r="G166" s="14">
        <f>G56</f>
        <v>0.40544795215811574</v>
      </c>
      <c r="H166" s="14">
        <f>H56</f>
        <v>0.39453834322229153</v>
      </c>
      <c r="I166" s="14">
        <f>I56</f>
        <v>0.41061793579391331</v>
      </c>
      <c r="J166" s="14">
        <f>J56</f>
        <v>0.434620091911327</v>
      </c>
      <c r="K166" s="28">
        <f>K56</f>
        <v>0.43</v>
      </c>
      <c r="L166" s="28">
        <f>L56</f>
        <v>0.42199999999999999</v>
      </c>
      <c r="M166" s="28">
        <f>M56</f>
        <v>0.42000000000000004</v>
      </c>
      <c r="N166" s="28">
        <f>N56</f>
        <v>0.41699999999999998</v>
      </c>
      <c r="O166" s="28">
        <f>O56</f>
        <v>0.42000000000000004</v>
      </c>
      <c r="P166" s="81"/>
      <c r="Q166" s="81"/>
      <c r="R166" s="81"/>
      <c r="S166" s="81"/>
      <c r="T166" s="81"/>
      <c r="U166" s="81"/>
      <c r="V166" s="81"/>
      <c r="W166" s="81"/>
      <c r="X166" s="81"/>
      <c r="Y166" s="81"/>
    </row>
    <row r="167" spans="1:25">
      <c r="A167" s="81"/>
      <c r="B167" s="81" t="s">
        <v>158</v>
      </c>
      <c r="C167" s="81" t="s">
        <v>123</v>
      </c>
      <c r="D167" s="14">
        <f>D67</f>
        <v>0.41964948453608247</v>
      </c>
      <c r="E167" s="14">
        <f>E67</f>
        <v>0.47542020683050262</v>
      </c>
      <c r="F167" s="14">
        <f>F67</f>
        <v>0.45786950632481349</v>
      </c>
      <c r="G167" s="14">
        <f>G67</f>
        <v>0.50023609913336065</v>
      </c>
      <c r="H167" s="14">
        <f>H67</f>
        <v>0.47416619841563612</v>
      </c>
      <c r="I167" s="14">
        <f>I67</f>
        <v>0.40810525016756882</v>
      </c>
      <c r="J167" s="14">
        <f>J67</f>
        <v>0.47761221039598067</v>
      </c>
      <c r="K167" s="28">
        <f>K67</f>
        <v>0.36603284477852033</v>
      </c>
      <c r="L167" s="28">
        <f>L67</f>
        <v>0.3627633502042158</v>
      </c>
      <c r="M167" s="28">
        <f>M67</f>
        <v>0.3634334775708532</v>
      </c>
      <c r="N167" s="28">
        <f>N67</f>
        <v>0.36286908834670611</v>
      </c>
      <c r="O167" s="28">
        <f>O67</f>
        <v>0.36668021502042025</v>
      </c>
      <c r="P167" s="81"/>
      <c r="Q167" s="81"/>
      <c r="R167" s="81"/>
      <c r="S167" s="81"/>
      <c r="T167" s="81"/>
      <c r="U167" s="81"/>
      <c r="V167" s="81"/>
      <c r="W167" s="81"/>
      <c r="X167" s="81"/>
      <c r="Y167" s="81"/>
    </row>
    <row r="168" spans="1:25">
      <c r="A168" s="81"/>
      <c r="B168" s="81" t="s">
        <v>202</v>
      </c>
      <c r="C168" s="81" t="s">
        <v>123</v>
      </c>
      <c r="D168" s="14">
        <f>IFERROR(D66/AVERAGE(D114,D114),"")</f>
        <v>8.4601015765987567E-2</v>
      </c>
      <c r="E168" s="14">
        <f>IFERROR(E66/AVERAGE(D114,E114),"")</f>
        <v>0.10177898635460472</v>
      </c>
      <c r="F168" s="14">
        <f>IFERROR(F66/AVERAGE(E114,F114),"")</f>
        <v>0.12315842332509258</v>
      </c>
      <c r="G168" s="14">
        <f>IFERROR(G66/AVERAGE(F114,G114),"")</f>
        <v>0.19447999924149767</v>
      </c>
      <c r="H168" s="14">
        <f>IFERROR(H66/AVERAGE(G114,H114),"")</f>
        <v>0.20527074553599842</v>
      </c>
      <c r="I168" s="14">
        <f>IFERROR(I66/AVERAGE(H114,I114),"")</f>
        <v>0.19310520126908814</v>
      </c>
      <c r="J168" s="14">
        <f>IFERROR(J66/AVERAGE(I114,J114),"")</f>
        <v>0.20649852854608244</v>
      </c>
      <c r="K168" s="28">
        <f>IFERROR(K66/AVERAGE(J114,K114),"")</f>
        <v>0.15230409540729448</v>
      </c>
      <c r="L168" s="28">
        <f>IFERROR(L66/AVERAGE(K114,L114),"")</f>
        <v>0.14842321600298933</v>
      </c>
      <c r="M168" s="28">
        <f>IFERROR(M66/AVERAGE(L114,M114),"")</f>
        <v>0.14658052511874969</v>
      </c>
      <c r="N168" s="28">
        <f>IFERROR(N66/AVERAGE(M114,N114),"")</f>
        <v>0.14416034459213264</v>
      </c>
      <c r="O168" s="28">
        <f>IFERROR(O66/AVERAGE(N114,O114),"")</f>
        <v>0.14293934527814048</v>
      </c>
      <c r="P168" s="81"/>
      <c r="Q168" s="81"/>
      <c r="R168" s="81"/>
      <c r="S168" s="81"/>
      <c r="T168" s="81"/>
      <c r="U168" s="81"/>
      <c r="V168" s="81"/>
      <c r="W168" s="81"/>
      <c r="X168" s="81"/>
      <c r="Y168" s="81"/>
    </row>
    <row r="169" spans="1:25">
      <c r="A169" s="81"/>
      <c r="B169" s="81" t="s">
        <v>203</v>
      </c>
      <c r="C169" s="81" t="s">
        <v>123</v>
      </c>
      <c r="D169" s="14">
        <f>IFERROR(D66/AVERAGE(D98,D98),"")</f>
        <v>7.5521314251087698E-2</v>
      </c>
      <c r="E169" s="14">
        <f>IFERROR(E66/AVERAGE(D98,E98),"")</f>
        <v>9.1050031046093494E-2</v>
      </c>
      <c r="F169" s="14">
        <f>IFERROR(F66/AVERAGE(E98,F98),"")</f>
        <v>0.11000290841924432</v>
      </c>
      <c r="G169" s="14">
        <f>IFERROR(G66/AVERAGE(F98,G98),"")</f>
        <v>0.16887398846744606</v>
      </c>
      <c r="H169" s="14">
        <f>IFERROR(H66/AVERAGE(G98,H98),"")</f>
        <v>0.17044887602141065</v>
      </c>
      <c r="I169" s="14">
        <f>IFERROR(I66/AVERAGE(H98,I98),"")</f>
        <v>0.14805388639388833</v>
      </c>
      <c r="J169" s="14">
        <f>IFERROR(J66/AVERAGE(I98,J98),"")</f>
        <v>0.15479443565837378</v>
      </c>
      <c r="K169" s="28">
        <f>IFERROR(K66/AVERAGE(J98,K98),"")</f>
        <v>0.11804222273916086</v>
      </c>
      <c r="L169" s="28">
        <f>IFERROR(L66/AVERAGE(K98,L98),"")</f>
        <v>0.1169384008336511</v>
      </c>
      <c r="M169" s="28">
        <f>IFERROR(M66/AVERAGE(L98,M98),"")</f>
        <v>0.11760771466718707</v>
      </c>
      <c r="N169" s="28">
        <f>IFERROR(N66/AVERAGE(M98,N98),"")</f>
        <v>0.11752976405881599</v>
      </c>
      <c r="O169" s="28">
        <f>IFERROR(O66/AVERAGE(N98,O98),"")</f>
        <v>0.11821476790977566</v>
      </c>
      <c r="P169" s="81"/>
      <c r="Q169" s="81"/>
      <c r="R169" s="81"/>
      <c r="S169" s="81"/>
      <c r="T169" s="81"/>
      <c r="U169" s="81"/>
      <c r="V169" s="81"/>
      <c r="W169" s="81"/>
      <c r="X169" s="81"/>
      <c r="Y169" s="81"/>
    </row>
    <row r="170" spans="1:25">
      <c r="A170" s="81"/>
      <c r="B170" s="81" t="s">
        <v>187</v>
      </c>
      <c r="C170" s="81" t="s">
        <v>123</v>
      </c>
      <c r="D170" s="14">
        <f>D134</f>
        <v>0.15925769812502713</v>
      </c>
      <c r="E170" s="14">
        <f>E134</f>
        <v>0.17120750889299746</v>
      </c>
      <c r="F170" s="14">
        <f>F134</f>
        <v>0.20965917752156213</v>
      </c>
      <c r="G170" s="14">
        <f>G134</f>
        <v>0.38773374221064144</v>
      </c>
      <c r="H170" s="14">
        <f>H134</f>
        <v>0.3650697197314976</v>
      </c>
      <c r="I170" s="14">
        <f>I134</f>
        <v>0.32748171659035841</v>
      </c>
      <c r="J170" s="14">
        <f>J134</f>
        <v>0.27294288567385844</v>
      </c>
      <c r="K170" s="28">
        <f>K134</f>
        <v>0.24883354205416991</v>
      </c>
      <c r="L170" s="28">
        <f>L134</f>
        <v>0.24360284828617018</v>
      </c>
      <c r="M170" s="28">
        <f>M134</f>
        <v>0.25070767215434697</v>
      </c>
      <c r="N170" s="28">
        <f>N134</f>
        <v>0.25806543928108289</v>
      </c>
      <c r="O170" s="28">
        <f>O134</f>
        <v>0.26820104366296471</v>
      </c>
      <c r="P170" s="81"/>
      <c r="Q170" s="81"/>
      <c r="R170" s="81"/>
      <c r="S170" s="81"/>
      <c r="T170" s="81"/>
      <c r="U170" s="81"/>
      <c r="V170" s="81"/>
      <c r="W170" s="81"/>
      <c r="X170" s="81"/>
      <c r="Y170" s="81"/>
    </row>
    <row r="171" spans="1:25">
      <c r="A171" s="81"/>
      <c r="B171" s="81" t="s">
        <v>204</v>
      </c>
      <c r="C171" s="81" t="s">
        <v>199</v>
      </c>
      <c r="D171" s="17">
        <f>IFERROR(D92/D104,"")</f>
        <v>5.6940466905219793</v>
      </c>
      <c r="E171" s="17">
        <f>IFERROR(E92/E104,"")</f>
        <v>5.763014610407323</v>
      </c>
      <c r="F171" s="17">
        <f>IFERROR(F92/F104,"")</f>
        <v>4.984568371578213</v>
      </c>
      <c r="G171" s="17">
        <f>IFERROR(G92/G104,"")</f>
        <v>1.6518993705193212</v>
      </c>
      <c r="H171" s="17">
        <f>IFERROR(H92/H104,"")</f>
        <v>1.9293470660493242</v>
      </c>
      <c r="I171" s="17">
        <f>IFERROR(I92/I104,"")</f>
        <v>2.6119142858420763</v>
      </c>
      <c r="J171" s="17">
        <f>IFERROR(J92/J104,"")</f>
        <v>2.8045939319881517</v>
      </c>
      <c r="K171" s="30">
        <f>IFERROR(K92/K104,"")</f>
        <v>2.6854084372590918</v>
      </c>
      <c r="L171" s="30">
        <f>IFERROR(L92/L104,"")</f>
        <v>2.9980333253833447</v>
      </c>
      <c r="M171" s="30">
        <f>IFERROR(M92/M104,"")</f>
        <v>3.3578385235539407</v>
      </c>
      <c r="N171" s="30">
        <f>IFERROR(N92/N104,"")</f>
        <v>3.7506054399244588</v>
      </c>
      <c r="O171" s="30">
        <f>IFERROR(O92/O104,"")</f>
        <v>4.1700904364468352</v>
      </c>
      <c r="P171" s="81"/>
      <c r="Q171" s="81"/>
      <c r="R171" s="81"/>
      <c r="S171" s="81"/>
      <c r="T171" s="81"/>
      <c r="U171" s="81"/>
      <c r="V171" s="81"/>
      <c r="W171" s="81"/>
      <c r="X171" s="81"/>
      <c r="Y171" s="81"/>
    </row>
    <row r="172" spans="1:25">
      <c r="A172" s="81"/>
      <c r="B172" s="81" t="s">
        <v>205</v>
      </c>
      <c r="C172" s="81" t="s">
        <v>199</v>
      </c>
      <c r="D172" s="17">
        <f>IFERROR((D87+D88+D89)/D104,"")</f>
        <v>5.3350976738093685</v>
      </c>
      <c r="E172" s="17">
        <f>IFERROR((E87+E88+E89)/E104,"")</f>
        <v>5.5385828232238916</v>
      </c>
      <c r="F172" s="17">
        <f>IFERROR((F87+F88+F89)/F104,"")</f>
        <v>4.7884888393394238</v>
      </c>
      <c r="G172" s="17">
        <f>IFERROR((G87+G88+G89)/G104,"")</f>
        <v>1.4901031648889664</v>
      </c>
      <c r="H172" s="17">
        <f>IFERROR((H87+H88+H89)/H104,"")</f>
        <v>1.7386714542190305</v>
      </c>
      <c r="I172" s="17">
        <f>IFERROR((I87+I88+I89)/I104,"")</f>
        <v>2.2447800268658096</v>
      </c>
      <c r="J172" s="17">
        <f>IFERROR((J87+J88+J89)/J104,"")</f>
        <v>2.5579214391226675</v>
      </c>
      <c r="K172" s="30">
        <f>IFERROR((K87+K88+K89)/K104,"")</f>
        <v>2.4385908775300766</v>
      </c>
      <c r="L172" s="30">
        <f>IFERROR((L87+L88+L89)/L104,"")</f>
        <v>2.7326862473204621</v>
      </c>
      <c r="M172" s="30">
        <f>IFERROR((M87+M88+M89)/M104,"")</f>
        <v>3.0802123365870218</v>
      </c>
      <c r="N172" s="30">
        <f>IFERROR((N87+N88+N89)/N104,"")</f>
        <v>3.4580544922983663</v>
      </c>
      <c r="O172" s="30">
        <f>IFERROR((O87+O88+O89)/O104,"")</f>
        <v>3.8699650677337134</v>
      </c>
      <c r="P172" s="81"/>
      <c r="Q172" s="81"/>
      <c r="R172" s="81"/>
      <c r="S172" s="81"/>
      <c r="T172" s="81"/>
      <c r="U172" s="81"/>
      <c r="V172" s="81"/>
      <c r="W172" s="81"/>
      <c r="X172" s="81"/>
      <c r="Y172" s="81"/>
    </row>
    <row r="173" spans="1:25">
      <c r="A173" s="81"/>
      <c r="B173" s="81" t="s">
        <v>206</v>
      </c>
      <c r="C173" s="81" t="s">
        <v>123</v>
      </c>
      <c r="D173" s="14">
        <f>IFERROR((D102+D105)/D114,"")</f>
        <v>0</v>
      </c>
      <c r="E173" s="14">
        <f>IFERROR((E102+E105)/E114,"")</f>
        <v>0</v>
      </c>
      <c r="F173" s="14">
        <f>IFERROR((F102+F105)/F114,"")</f>
        <v>0</v>
      </c>
      <c r="G173" s="14">
        <f>IFERROR((G102+G105)/G114,"")</f>
        <v>2.3236202391321563E-2</v>
      </c>
      <c r="H173" s="14">
        <f>IFERROR((H102+H105)/H114,"")</f>
        <v>6.5915055183903892E-2</v>
      </c>
      <c r="I173" s="14">
        <f>IFERROR((I102+I105)/I114,"")</f>
        <v>0.1821061049080388</v>
      </c>
      <c r="J173" s="14">
        <f>IFERROR((J102+J105)/J114,"")</f>
        <v>0.15117354656941018</v>
      </c>
      <c r="K173" s="28">
        <f>IFERROR((K102+K105)/K114,"")</f>
        <v>0.12646042645105202</v>
      </c>
      <c r="L173" s="28">
        <f>IFERROR((L102+L105)/L114,"")</f>
        <v>0.1059847916856427</v>
      </c>
      <c r="M173" s="28">
        <f>IFERROR((M102+M105)/M114,"")</f>
        <v>8.8903133994631206E-2</v>
      </c>
      <c r="N173" s="28">
        <f>IFERROR((N102+N105)/N114,"")</f>
        <v>7.4661329682328276E-2</v>
      </c>
      <c r="O173" s="28">
        <f>IFERROR((O102+O105)/O114,"")</f>
        <v>6.2737788126151578E-2</v>
      </c>
      <c r="P173" s="81"/>
      <c r="Q173" s="81"/>
      <c r="R173" s="81"/>
      <c r="S173" s="81"/>
      <c r="T173" s="81"/>
      <c r="U173" s="81"/>
      <c r="V173" s="81"/>
      <c r="W173" s="81"/>
      <c r="X173" s="81"/>
      <c r="Y173" s="81"/>
    </row>
    <row r="174" spans="1:25">
      <c r="A174" s="81"/>
      <c r="B174" s="81" t="s">
        <v>207</v>
      </c>
      <c r="C174" s="81" t="s">
        <v>199</v>
      </c>
      <c r="D174" s="17">
        <f>IFERROR(D131/D58,"")</f>
        <v>-2.5895002118050821</v>
      </c>
      <c r="E174" s="17">
        <f>IFERROR(E131/E58,"")</f>
        <v>-2.8023821082067863</v>
      </c>
      <c r="F174" s="17">
        <f>IFERROR(F131/F58,"")</f>
        <v>-2.7957235379300114</v>
      </c>
      <c r="G174" s="17">
        <f>IFERROR(G131/G58,"")</f>
        <v>-0.35056924307770393</v>
      </c>
      <c r="H174" s="17">
        <f>IFERROR(H131/H58,"")</f>
        <v>-0.12817672605338118</v>
      </c>
      <c r="I174" s="17">
        <f>IFERROR(I131/I58,"")</f>
        <v>-9.7221561620408598E-2</v>
      </c>
      <c r="J174" s="17">
        <f>IFERROR(J131/J58,"")</f>
        <v>-0.22109328724704413</v>
      </c>
      <c r="K174" s="30">
        <f>IFERROR(K131/K58,"")</f>
        <v>-0.31673278491570384</v>
      </c>
      <c r="L174" s="30">
        <f>IFERROR(L131/L58,"")</f>
        <v>-0.53440908576770829</v>
      </c>
      <c r="M174" s="30">
        <f>IFERROR(M131/M58,"")</f>
        <v>-0.7631600383450915</v>
      </c>
      <c r="N174" s="30">
        <f>IFERROR(N131/N58,"")</f>
        <v>-1.0024006415633444</v>
      </c>
      <c r="O174" s="30">
        <f>IFERROR(O131/O58,"")</f>
        <v>-1.2187851681337118</v>
      </c>
      <c r="P174" s="81"/>
      <c r="Q174" s="81"/>
      <c r="R174" s="81"/>
      <c r="S174" s="81"/>
      <c r="T174" s="81"/>
      <c r="U174" s="81"/>
      <c r="V174" s="81"/>
      <c r="W174" s="81"/>
      <c r="X174" s="81"/>
      <c r="Y174" s="81"/>
    </row>
    <row r="175" spans="1:25">
      <c r="A175" s="81"/>
      <c r="B175" s="81" t="s">
        <v>208</v>
      </c>
      <c r="C175" s="81" t="s">
        <v>199</v>
      </c>
      <c r="D175" s="17">
        <f>IFERROR($C$7/D69,"")</f>
        <v>31.88190438755958</v>
      </c>
      <c r="E175" s="17">
        <f>IFERROR($C$7/E69,"")</f>
        <v>25.983358282972027</v>
      </c>
      <c r="F175" s="17">
        <f>IFERROR($C$7/F69,"")</f>
        <v>20.321902004100227</v>
      </c>
      <c r="G175" s="17">
        <f>IFERROR($C$7/G69,"")</f>
        <v>11.920348074792557</v>
      </c>
      <c r="H175" s="17">
        <f>IFERROR($C$7/H69,"")</f>
        <v>10.337581876759318</v>
      </c>
      <c r="I175" s="17">
        <f>IFERROR($C$7/I69,"")</f>
        <v>10.003392965987331</v>
      </c>
      <c r="J175" s="17">
        <f>IFERROR($C$7/J69,"")</f>
        <v>8.4110912800100515</v>
      </c>
      <c r="K175" s="30">
        <f>IFERROR($C$7/K69,"")</f>
        <v>10.378498210077302</v>
      </c>
      <c r="L175" s="30">
        <f>IFERROR($C$7/L69,"")</f>
        <v>9.9083249294734639</v>
      </c>
      <c r="M175" s="30">
        <f>IFERROR($C$7/M69,"")</f>
        <v>9.3469800833960281</v>
      </c>
      <c r="N175" s="30">
        <f>IFERROR($C$7/N69,"")</f>
        <v>8.863273806670561</v>
      </c>
      <c r="O175" s="30">
        <f>IFERROR($C$7/O69,"")</f>
        <v>8.3436511061093093</v>
      </c>
      <c r="P175" s="81"/>
      <c r="Q175" s="81"/>
      <c r="R175" s="81"/>
      <c r="S175" s="81"/>
      <c r="T175" s="81"/>
      <c r="U175" s="81"/>
      <c r="V175" s="81"/>
      <c r="W175" s="81"/>
      <c r="X175" s="81"/>
      <c r="Y175" s="81"/>
    </row>
    <row r="176" spans="1:25">
      <c r="A176" s="81"/>
      <c r="B176" s="81" t="s">
        <v>209</v>
      </c>
      <c r="C176" s="81" t="s">
        <v>199</v>
      </c>
      <c r="D176" s="17">
        <f>IFERROR(($C$7*$C$12+D102+D105-D87-D88-D94-D96)/D58,"")</f>
        <v>22.041665290531959</v>
      </c>
      <c r="E176" s="17">
        <f>IFERROR(($C$7*$C$12+E102+E105-E87-E88-E94-E96)/E58,"")</f>
        <v>20.447247653103791</v>
      </c>
      <c r="F176" s="17">
        <f>IFERROR(($C$7*$C$12+F102+F105-F87-F88-F94-F96)/F58,"")</f>
        <v>16.447837538910616</v>
      </c>
      <c r="G176" s="17">
        <f>IFERROR(($C$7*$C$12+G102+G105-G87-G88-G94-G96)/G58,"")</f>
        <v>8.5905290703162596</v>
      </c>
      <c r="H176" s="17">
        <f>IFERROR(($C$7*$C$12+H102+H105-H87-H88-H94-H96)/H58,"")</f>
        <v>7.4174437276906584</v>
      </c>
      <c r="I176" s="17">
        <f>IFERROR(($C$7*$C$12+I102+I105-I87-I88-I94-I96)/I58,"")</f>
        <v>6.1669253054887028</v>
      </c>
      <c r="J176" s="17">
        <f>IFERROR(($C$7*$C$12+J102+J105-J87-J88-J94-J96)/J58,"")</f>
        <v>5.2577416343637786</v>
      </c>
      <c r="K176" s="30">
        <f>IFERROR(($C$7*$C$12+K102+K105-K87-K88-K94-K96)/K58,"")</f>
        <v>4.8820987909719946</v>
      </c>
      <c r="L176" s="30">
        <f>IFERROR(($C$7*$C$12+L102+L105-L87-L88-L94-L96)/L58,"")</f>
        <v>4.3642887103320165</v>
      </c>
      <c r="M176" s="30">
        <f>IFERROR(($C$7*$C$12+M102+M105-M87-M88-M94-M96)/M58,"")</f>
        <v>3.8433510949571992</v>
      </c>
      <c r="N176" s="30">
        <f>IFERROR(($C$7*$C$12+N102+N105-N87-N88-N94-N96)/N58,"")</f>
        <v>3.3637227723633942</v>
      </c>
      <c r="O176" s="30">
        <f>IFERROR(($C$7*$C$12+O102+O105-O87-O88-O94-O96)/O58,"")</f>
        <v>2.8677776187625974</v>
      </c>
      <c r="P176" s="81"/>
      <c r="Q176" s="81"/>
      <c r="R176" s="81"/>
      <c r="S176" s="81"/>
      <c r="T176" s="81"/>
      <c r="U176" s="81"/>
      <c r="V176" s="81"/>
      <c r="W176" s="81"/>
      <c r="X176" s="81"/>
      <c r="Y176" s="81"/>
    </row>
    <row r="177" spans="1:25">
      <c r="A177" s="81"/>
      <c r="B177" s="81" t="s">
        <v>210</v>
      </c>
      <c r="C177" s="81" t="s">
        <v>199</v>
      </c>
      <c r="D177" s="17">
        <f>IFERROR($C$7/(D114/D68),"")</f>
        <v>2.6972414957416362</v>
      </c>
      <c r="E177" s="17">
        <f>IFERROR($C$7/(E114/E68),"")</f>
        <v>2.5938967361357106</v>
      </c>
      <c r="F177" s="17">
        <f>IFERROR($C$7/(F114/F68),"")</f>
        <v>2.4179097735352482</v>
      </c>
      <c r="G177" s="17">
        <f>IFERROR($C$7/(G114/G68),"")</f>
        <v>2.2265160081294377</v>
      </c>
      <c r="H177" s="17">
        <f>IFERROR($C$7/(H114/H68),"")</f>
        <v>2.0268620452860255</v>
      </c>
      <c r="I177" s="17">
        <f>IFERROR($C$7/(I114/I68),"")</f>
        <v>1.8450861868340884</v>
      </c>
      <c r="J177" s="17">
        <f>IFERROR($C$7/(J114/J68),"")</f>
        <v>1.6406587529081449</v>
      </c>
      <c r="K177" s="30">
        <f>IFERROR($C$7/(K114/K68),"")</f>
        <v>1.5249464404155528</v>
      </c>
      <c r="L177" s="30">
        <f>IFERROR($C$7/(L114/L68),"")</f>
        <v>1.4200413463975543</v>
      </c>
      <c r="M177" s="30">
        <f>IFERROR($C$7/(M114/M68),"")</f>
        <v>1.3235245473410513</v>
      </c>
      <c r="N177" s="30">
        <f>IFERROR($C$7/(N114/N68),"")</f>
        <v>1.235003363669096</v>
      </c>
      <c r="O177" s="30">
        <f>IFERROR($C$7/(O114/O68),"")</f>
        <v>1.1530791359184029</v>
      </c>
      <c r="P177" s="81"/>
      <c r="Q177" s="81"/>
      <c r="R177" s="81"/>
      <c r="S177" s="81"/>
      <c r="T177" s="81"/>
      <c r="U177" s="81"/>
      <c r="V177" s="81"/>
      <c r="W177" s="81"/>
      <c r="X177" s="81"/>
      <c r="Y177" s="81"/>
    </row>
    <row r="178" spans="1:25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2"/>
      <c r="L178" s="82"/>
      <c r="M178" s="82"/>
      <c r="N178" s="82"/>
      <c r="O178" s="82"/>
      <c r="P178" s="81"/>
      <c r="Q178" s="81"/>
      <c r="R178" s="81"/>
      <c r="S178" s="81"/>
      <c r="T178" s="81"/>
      <c r="U178" s="81"/>
      <c r="V178" s="81"/>
      <c r="W178" s="81"/>
      <c r="X178" s="81"/>
      <c r="Y178" s="81"/>
    </row>
    <row r="179" spans="1:25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2"/>
      <c r="L179" s="82"/>
      <c r="M179" s="82"/>
      <c r="N179" s="82"/>
      <c r="O179" s="82"/>
      <c r="P179" s="81"/>
      <c r="Q179" s="81"/>
      <c r="R179" s="81"/>
      <c r="S179" s="81"/>
      <c r="T179" s="81"/>
      <c r="U179" s="81"/>
      <c r="V179" s="81"/>
      <c r="W179" s="81"/>
      <c r="X179" s="81"/>
      <c r="Y179" s="81"/>
    </row>
    <row r="180" spans="1:25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2"/>
      <c r="L180" s="82"/>
      <c r="M180" s="82"/>
      <c r="N180" s="82"/>
      <c r="O180" s="82"/>
      <c r="P180" s="81"/>
      <c r="Q180" s="81"/>
      <c r="R180" s="81"/>
      <c r="S180" s="81"/>
      <c r="T180" s="81"/>
      <c r="U180" s="81"/>
      <c r="V180" s="81"/>
      <c r="W180" s="81"/>
      <c r="X180" s="81"/>
      <c r="Y180" s="81"/>
    </row>
    <row r="181" spans="1:25" ht="20.100000000000001" customHeight="1">
      <c r="A181" s="81"/>
      <c r="B181" s="102" t="s">
        <v>211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81"/>
      <c r="Q181" s="81"/>
      <c r="R181" s="81"/>
      <c r="S181" s="81"/>
      <c r="T181" s="81"/>
      <c r="U181" s="81"/>
      <c r="V181" s="81"/>
      <c r="W181" s="81"/>
      <c r="X181" s="81"/>
      <c r="Y181" s="81"/>
    </row>
    <row r="182" spans="1:25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2"/>
      <c r="L182" s="82"/>
      <c r="M182" s="82"/>
      <c r="N182" s="82"/>
      <c r="O182" s="82"/>
      <c r="P182" s="81"/>
      <c r="Q182" s="81"/>
      <c r="R182" s="81"/>
      <c r="S182" s="81"/>
      <c r="T182" s="81"/>
      <c r="U182" s="81"/>
      <c r="V182" s="81"/>
      <c r="W182" s="81"/>
      <c r="X182" s="81"/>
      <c r="Y182" s="81"/>
    </row>
    <row r="183" spans="1:25">
      <c r="A183" s="81"/>
      <c r="B183" s="95" t="s">
        <v>212</v>
      </c>
      <c r="C183" s="91">
        <f>SUM(K158:O158)</f>
        <v>2280.7302313628252</v>
      </c>
      <c r="D183" s="81"/>
      <c r="E183" s="103"/>
      <c r="F183" s="103"/>
      <c r="G183" s="103"/>
      <c r="H183" s="103"/>
      <c r="I183" s="103"/>
      <c r="J183" s="103"/>
      <c r="K183" s="104"/>
      <c r="L183" s="104"/>
      <c r="M183" s="104"/>
      <c r="N183" s="104"/>
      <c r="O183" s="104"/>
      <c r="P183" s="81"/>
      <c r="Q183" s="81"/>
      <c r="R183" s="81"/>
      <c r="S183" s="81"/>
      <c r="T183" s="81"/>
      <c r="U183" s="81"/>
      <c r="V183" s="81"/>
      <c r="W183" s="81"/>
      <c r="X183" s="81"/>
      <c r="Y183" s="81"/>
    </row>
    <row r="184" spans="1:25">
      <c r="A184" s="81"/>
      <c r="B184" s="96" t="s">
        <v>213</v>
      </c>
      <c r="C184" s="92">
        <f>O156*(1+Assumptions_Log!$D$15)</f>
        <v>865.12148841550322</v>
      </c>
      <c r="D184" s="81"/>
      <c r="E184" s="103"/>
      <c r="F184" s="103"/>
      <c r="G184" s="103"/>
      <c r="H184" s="103"/>
      <c r="I184" s="103"/>
      <c r="J184" s="103"/>
      <c r="K184" s="104"/>
      <c r="L184" s="104"/>
      <c r="M184" s="104"/>
      <c r="N184" s="104"/>
      <c r="O184" s="104"/>
      <c r="P184" s="81"/>
      <c r="Q184" s="81"/>
      <c r="R184" s="81"/>
      <c r="S184" s="81"/>
      <c r="T184" s="81"/>
      <c r="U184" s="81"/>
      <c r="V184" s="81"/>
      <c r="W184" s="81"/>
      <c r="X184" s="81"/>
      <c r="Y184" s="81"/>
    </row>
    <row r="185" spans="1:25">
      <c r="A185" s="81"/>
      <c r="B185" s="96" t="s">
        <v>214</v>
      </c>
      <c r="C185" s="92">
        <f>C184/(Assumptions_Log!$D$14-Assumptions_Log!$D$15)</f>
        <v>8914.5966419411852</v>
      </c>
      <c r="D185" s="81"/>
      <c r="E185" s="103"/>
      <c r="F185" s="103"/>
      <c r="G185" s="103"/>
      <c r="H185" s="103"/>
      <c r="I185" s="103"/>
      <c r="J185" s="103"/>
      <c r="K185" s="104"/>
      <c r="L185" s="104"/>
      <c r="M185" s="104"/>
      <c r="N185" s="104"/>
      <c r="O185" s="104"/>
      <c r="P185" s="81"/>
      <c r="Q185" s="81"/>
      <c r="R185" s="81"/>
      <c r="S185" s="81"/>
      <c r="T185" s="81"/>
      <c r="U185" s="81"/>
      <c r="V185" s="81"/>
      <c r="W185" s="81"/>
      <c r="X185" s="81"/>
      <c r="Y185" s="81"/>
    </row>
    <row r="186" spans="1:25">
      <c r="A186" s="81"/>
      <c r="B186" s="96" t="s">
        <v>215</v>
      </c>
      <c r="C186" s="92">
        <f>C185*O157</f>
        <v>4489.5051096417983</v>
      </c>
      <c r="D186" s="81"/>
      <c r="E186" s="103"/>
      <c r="F186" s="103"/>
      <c r="G186" s="103"/>
      <c r="H186" s="103"/>
      <c r="I186" s="103"/>
      <c r="J186" s="103"/>
      <c r="K186" s="104"/>
      <c r="L186" s="104"/>
      <c r="M186" s="104"/>
      <c r="N186" s="104"/>
      <c r="O186" s="104"/>
      <c r="P186" s="81"/>
      <c r="Q186" s="81"/>
      <c r="R186" s="81"/>
      <c r="S186" s="81"/>
      <c r="T186" s="81"/>
      <c r="U186" s="81"/>
      <c r="V186" s="81"/>
      <c r="W186" s="81"/>
      <c r="X186" s="81"/>
      <c r="Y186" s="81"/>
    </row>
    <row r="187" spans="1:25">
      <c r="A187" s="81"/>
      <c r="B187" s="96" t="s">
        <v>216</v>
      </c>
      <c r="C187" s="92">
        <f>C183+C186</f>
        <v>6770.2353410046235</v>
      </c>
      <c r="D187" s="81"/>
      <c r="E187" s="103"/>
      <c r="F187" s="103"/>
      <c r="G187" s="103"/>
      <c r="H187" s="103"/>
      <c r="I187" s="103"/>
      <c r="J187" s="103"/>
      <c r="K187" s="104"/>
      <c r="L187" s="104"/>
      <c r="M187" s="104"/>
      <c r="N187" s="104"/>
      <c r="O187" s="104"/>
      <c r="P187" s="81"/>
      <c r="Q187" s="81"/>
      <c r="R187" s="81"/>
      <c r="S187" s="81"/>
      <c r="T187" s="81"/>
      <c r="U187" s="81"/>
      <c r="V187" s="81"/>
      <c r="W187" s="81"/>
      <c r="X187" s="81"/>
      <c r="Y187" s="81"/>
    </row>
    <row r="188" spans="1:25">
      <c r="A188" s="81"/>
      <c r="B188" s="96" t="s">
        <v>217</v>
      </c>
      <c r="C188" s="92">
        <f>J87+J88+J94+J96</f>
        <v>3602.9479999999999</v>
      </c>
      <c r="D188" s="81"/>
      <c r="E188" s="103"/>
      <c r="F188" s="103"/>
      <c r="G188" s="103"/>
      <c r="H188" s="103"/>
      <c r="I188" s="103"/>
      <c r="J188" s="103"/>
      <c r="K188" s="104"/>
      <c r="L188" s="104"/>
      <c r="M188" s="104"/>
      <c r="N188" s="104"/>
      <c r="O188" s="104"/>
      <c r="P188" s="81"/>
      <c r="Q188" s="81"/>
      <c r="R188" s="81"/>
      <c r="S188" s="81"/>
      <c r="T188" s="81"/>
      <c r="U188" s="81"/>
      <c r="V188" s="81"/>
      <c r="W188" s="81"/>
      <c r="X188" s="81"/>
      <c r="Y188" s="81"/>
    </row>
    <row r="189" spans="1:25">
      <c r="A189" s="81"/>
      <c r="B189" s="96" t="s">
        <v>218</v>
      </c>
      <c r="C189" s="92">
        <f>J102+J105</f>
        <v>777.27299999999991</v>
      </c>
      <c r="D189" s="81"/>
      <c r="E189" s="103"/>
      <c r="F189" s="103"/>
      <c r="G189" s="103"/>
      <c r="H189" s="103"/>
      <c r="I189" s="103"/>
      <c r="J189" s="103"/>
      <c r="K189" s="104"/>
      <c r="L189" s="104"/>
      <c r="M189" s="104"/>
      <c r="N189" s="104"/>
      <c r="O189" s="104"/>
      <c r="P189" s="81"/>
      <c r="Q189" s="81"/>
      <c r="R189" s="81"/>
      <c r="S189" s="81"/>
      <c r="T189" s="81"/>
      <c r="U189" s="81"/>
      <c r="V189" s="81"/>
      <c r="W189" s="81"/>
      <c r="X189" s="81"/>
      <c r="Y189" s="81"/>
    </row>
    <row r="190" spans="1:25">
      <c r="A190" s="81"/>
      <c r="B190" s="96" t="s">
        <v>219</v>
      </c>
      <c r="C190" s="92">
        <f>C187+C188-C189</f>
        <v>9595.9103410046246</v>
      </c>
      <c r="D190" s="81"/>
      <c r="E190" s="103"/>
      <c r="F190" s="103"/>
      <c r="G190" s="103"/>
      <c r="H190" s="103"/>
      <c r="I190" s="103"/>
      <c r="J190" s="103"/>
      <c r="K190" s="104"/>
      <c r="L190" s="104"/>
      <c r="M190" s="104"/>
      <c r="N190" s="104"/>
      <c r="O190" s="104"/>
      <c r="P190" s="81"/>
      <c r="Q190" s="81"/>
      <c r="R190" s="81"/>
      <c r="S190" s="81"/>
      <c r="T190" s="81"/>
      <c r="U190" s="81"/>
      <c r="V190" s="81"/>
      <c r="W190" s="81"/>
      <c r="X190" s="81"/>
      <c r="Y190" s="81"/>
    </row>
    <row r="191" spans="1:25">
      <c r="A191" s="81"/>
      <c r="B191" s="96" t="s">
        <v>159</v>
      </c>
      <c r="C191" s="92">
        <f>J68</f>
        <v>254.852</v>
      </c>
      <c r="D191" s="81"/>
      <c r="E191" s="103"/>
      <c r="F191" s="103"/>
      <c r="G191" s="103"/>
      <c r="H191" s="103"/>
      <c r="I191" s="103"/>
      <c r="J191" s="103"/>
      <c r="K191" s="104"/>
      <c r="L191" s="104"/>
      <c r="M191" s="104"/>
      <c r="N191" s="104"/>
      <c r="O191" s="104"/>
      <c r="P191" s="81"/>
      <c r="Q191" s="81"/>
      <c r="R191" s="81"/>
      <c r="S191" s="81"/>
      <c r="T191" s="81"/>
      <c r="U191" s="81"/>
      <c r="V191" s="81"/>
      <c r="W191" s="81"/>
      <c r="X191" s="81"/>
      <c r="Y191" s="81"/>
    </row>
    <row r="192" spans="1:25">
      <c r="A192" s="81"/>
      <c r="B192" s="97" t="s">
        <v>220</v>
      </c>
      <c r="C192" s="99">
        <f>C190/C191</f>
        <v>37.652874378088555</v>
      </c>
      <c r="D192" s="81"/>
      <c r="E192" s="103"/>
      <c r="F192" s="103"/>
      <c r="G192" s="103"/>
      <c r="H192" s="103"/>
      <c r="I192" s="103"/>
      <c r="J192" s="103"/>
      <c r="K192" s="104"/>
      <c r="L192" s="104"/>
      <c r="M192" s="104"/>
      <c r="N192" s="104"/>
      <c r="O192" s="104"/>
      <c r="P192" s="81"/>
      <c r="Q192" s="81"/>
      <c r="R192" s="81"/>
      <c r="S192" s="81"/>
      <c r="T192" s="81"/>
      <c r="U192" s="81"/>
      <c r="V192" s="81"/>
      <c r="W192" s="81"/>
      <c r="X192" s="81"/>
      <c r="Y192" s="81"/>
    </row>
    <row r="193" spans="1:25">
      <c r="A193" s="81"/>
      <c r="B193" s="96" t="s">
        <v>221</v>
      </c>
      <c r="C193" s="93">
        <f>(O58*Assumptions_Log!$D$19*O157)+C188-C189</f>
        <v>6861.0306629130509</v>
      </c>
      <c r="D193" s="81"/>
      <c r="E193" s="103"/>
      <c r="F193" s="103"/>
      <c r="G193" s="103"/>
      <c r="H193" s="103"/>
      <c r="I193" s="103"/>
      <c r="J193" s="103"/>
      <c r="K193" s="104"/>
      <c r="L193" s="104"/>
      <c r="M193" s="104"/>
      <c r="N193" s="104"/>
      <c r="O193" s="104"/>
      <c r="P193" s="81"/>
      <c r="Q193" s="81"/>
      <c r="R193" s="81"/>
      <c r="S193" s="81"/>
      <c r="T193" s="81"/>
      <c r="U193" s="81"/>
      <c r="V193" s="81"/>
      <c r="W193" s="81"/>
      <c r="X193" s="81"/>
      <c r="Y193" s="81"/>
    </row>
    <row r="194" spans="1:25">
      <c r="A194" s="81"/>
      <c r="B194" s="97" t="s">
        <v>222</v>
      </c>
      <c r="C194" s="99">
        <f>C193/C191</f>
        <v>26.921627701226793</v>
      </c>
      <c r="D194" s="81"/>
      <c r="E194" s="103"/>
      <c r="F194" s="103"/>
      <c r="G194" s="103"/>
      <c r="H194" s="103"/>
      <c r="I194" s="103"/>
      <c r="J194" s="103"/>
      <c r="K194" s="104"/>
      <c r="L194" s="104"/>
      <c r="M194" s="104"/>
      <c r="N194" s="104"/>
      <c r="O194" s="104"/>
      <c r="P194" s="81"/>
      <c r="Q194" s="81"/>
      <c r="R194" s="81"/>
      <c r="S194" s="81"/>
      <c r="T194" s="81"/>
      <c r="U194" s="81"/>
      <c r="V194" s="81"/>
      <c r="W194" s="81"/>
      <c r="X194" s="81"/>
      <c r="Y194" s="81"/>
    </row>
    <row r="195" spans="1:25">
      <c r="A195" s="81"/>
      <c r="B195" s="96" t="s">
        <v>223</v>
      </c>
      <c r="C195" s="93">
        <f>O66*Assumptions_Log!$D$20*O157</f>
        <v>5091.6281286402564</v>
      </c>
      <c r="D195" s="81"/>
      <c r="E195" s="103"/>
      <c r="F195" s="103"/>
      <c r="G195" s="103"/>
      <c r="H195" s="103"/>
      <c r="I195" s="103"/>
      <c r="J195" s="103"/>
      <c r="K195" s="104"/>
      <c r="L195" s="104"/>
      <c r="M195" s="104"/>
      <c r="N195" s="104"/>
      <c r="O195" s="104"/>
      <c r="P195" s="81"/>
      <c r="Q195" s="81"/>
      <c r="R195" s="81"/>
      <c r="S195" s="81"/>
      <c r="T195" s="81"/>
      <c r="U195" s="81"/>
      <c r="V195" s="81"/>
      <c r="W195" s="81"/>
      <c r="X195" s="81"/>
      <c r="Y195" s="81"/>
    </row>
    <row r="196" spans="1:25">
      <c r="A196" s="81"/>
      <c r="B196" s="97" t="s">
        <v>224</v>
      </c>
      <c r="C196" s="99">
        <f>C195/C191</f>
        <v>19.978764650229373</v>
      </c>
      <c r="D196" s="81"/>
      <c r="E196" s="103"/>
      <c r="F196" s="103"/>
      <c r="G196" s="103"/>
      <c r="H196" s="103"/>
      <c r="I196" s="103"/>
      <c r="J196" s="103"/>
      <c r="K196" s="104"/>
      <c r="L196" s="104"/>
      <c r="M196" s="104"/>
      <c r="N196" s="104"/>
      <c r="O196" s="104"/>
      <c r="P196" s="81"/>
      <c r="Q196" s="81"/>
      <c r="R196" s="81"/>
      <c r="S196" s="81"/>
      <c r="T196" s="81"/>
      <c r="U196" s="81"/>
      <c r="V196" s="81"/>
      <c r="W196" s="81"/>
      <c r="X196" s="81"/>
      <c r="Y196" s="81"/>
    </row>
    <row r="197" spans="1:25">
      <c r="A197" s="81"/>
      <c r="B197" s="96" t="s">
        <v>225</v>
      </c>
      <c r="C197" s="94">
        <f>Assumptions_Log!D16</f>
        <v>0.65</v>
      </c>
      <c r="D197" s="81"/>
      <c r="E197" s="103"/>
      <c r="F197" s="103"/>
      <c r="G197" s="103"/>
      <c r="H197" s="103"/>
      <c r="I197" s="103"/>
      <c r="J197" s="103"/>
      <c r="K197" s="104"/>
      <c r="L197" s="104"/>
      <c r="M197" s="104"/>
      <c r="N197" s="104"/>
      <c r="O197" s="104"/>
      <c r="P197" s="81"/>
      <c r="Q197" s="81"/>
      <c r="R197" s="81"/>
      <c r="S197" s="81"/>
      <c r="T197" s="81"/>
      <c r="U197" s="81"/>
      <c r="V197" s="81"/>
      <c r="W197" s="81"/>
      <c r="X197" s="81"/>
      <c r="Y197" s="81"/>
    </row>
    <row r="198" spans="1:25">
      <c r="A198" s="81"/>
      <c r="B198" s="96" t="s">
        <v>226</v>
      </c>
      <c r="C198" s="94">
        <f>Assumptions_Log!D17</f>
        <v>0.2</v>
      </c>
      <c r="D198" s="81"/>
      <c r="E198" s="103"/>
      <c r="F198" s="103"/>
      <c r="G198" s="103"/>
      <c r="H198" s="103"/>
      <c r="I198" s="103"/>
      <c r="J198" s="103"/>
      <c r="K198" s="104"/>
      <c r="L198" s="104"/>
      <c r="M198" s="104"/>
      <c r="N198" s="104"/>
      <c r="O198" s="104"/>
      <c r="P198" s="81"/>
      <c r="Q198" s="81"/>
      <c r="R198" s="81"/>
      <c r="S198" s="81"/>
      <c r="T198" s="81"/>
      <c r="U198" s="81"/>
      <c r="V198" s="81"/>
      <c r="W198" s="81"/>
      <c r="X198" s="81"/>
      <c r="Y198" s="81"/>
    </row>
    <row r="199" spans="1:25">
      <c r="A199" s="81"/>
      <c r="B199" s="96" t="s">
        <v>227</v>
      </c>
      <c r="C199" s="94">
        <f>Assumptions_Log!D18</f>
        <v>0.15</v>
      </c>
      <c r="D199" s="81"/>
      <c r="E199" s="103"/>
      <c r="F199" s="103"/>
      <c r="G199" s="103"/>
      <c r="H199" s="103"/>
      <c r="I199" s="103"/>
      <c r="J199" s="103"/>
      <c r="K199" s="104"/>
      <c r="L199" s="104"/>
      <c r="M199" s="104"/>
      <c r="N199" s="104"/>
      <c r="O199" s="104"/>
      <c r="P199" s="81"/>
      <c r="Q199" s="81"/>
      <c r="R199" s="81"/>
      <c r="S199" s="81"/>
      <c r="T199" s="81"/>
      <c r="U199" s="81"/>
      <c r="V199" s="81"/>
      <c r="W199" s="81"/>
      <c r="X199" s="81"/>
      <c r="Y199" s="81"/>
    </row>
    <row r="200" spans="1:25">
      <c r="A200" s="81"/>
      <c r="B200" s="95" t="s">
        <v>228</v>
      </c>
      <c r="C200" s="87">
        <f>C192*C197+C194*C198+C196*C199</f>
        <v>32.855508583537329</v>
      </c>
      <c r="D200" s="81"/>
      <c r="E200" s="103"/>
      <c r="F200" s="103"/>
      <c r="G200" s="103"/>
      <c r="H200" s="103"/>
      <c r="I200" s="103"/>
      <c r="J200" s="103"/>
      <c r="K200" s="104"/>
      <c r="L200" s="104"/>
      <c r="M200" s="104"/>
      <c r="N200" s="104"/>
      <c r="O200" s="104"/>
      <c r="P200" s="81"/>
      <c r="Q200" s="81"/>
      <c r="R200" s="81"/>
      <c r="S200" s="81"/>
      <c r="T200" s="81"/>
      <c r="U200" s="81"/>
      <c r="V200" s="81"/>
      <c r="W200" s="81"/>
      <c r="X200" s="81"/>
      <c r="Y200" s="81"/>
    </row>
    <row r="201" spans="1:25">
      <c r="A201" s="81"/>
      <c r="B201" s="96" t="s">
        <v>229</v>
      </c>
      <c r="C201" s="88">
        <f>Assumptions_Log!D4</f>
        <v>33.1</v>
      </c>
      <c r="D201" s="81"/>
      <c r="E201" s="103"/>
      <c r="F201" s="103"/>
      <c r="G201" s="103"/>
      <c r="H201" s="103"/>
      <c r="I201" s="103"/>
      <c r="J201" s="103"/>
      <c r="K201" s="104"/>
      <c r="L201" s="104"/>
      <c r="M201" s="104"/>
      <c r="N201" s="104"/>
      <c r="O201" s="104"/>
      <c r="P201" s="81"/>
      <c r="Q201" s="81"/>
      <c r="R201" s="81"/>
      <c r="S201" s="81"/>
      <c r="T201" s="81"/>
      <c r="U201" s="81"/>
      <c r="V201" s="81"/>
      <c r="W201" s="81"/>
      <c r="X201" s="81"/>
      <c r="Y201" s="81"/>
    </row>
    <row r="202" spans="1:25">
      <c r="A202" s="81"/>
      <c r="B202" s="96" t="s">
        <v>230</v>
      </c>
      <c r="C202" s="89">
        <f>C200/C201-1</f>
        <v>-7.3864476272710311E-3</v>
      </c>
      <c r="D202" s="81"/>
      <c r="E202" s="103"/>
      <c r="F202" s="103"/>
      <c r="G202" s="103"/>
      <c r="H202" s="103"/>
      <c r="I202" s="103"/>
      <c r="J202" s="103"/>
      <c r="K202" s="104"/>
      <c r="L202" s="104"/>
      <c r="M202" s="104"/>
      <c r="N202" s="104"/>
      <c r="O202" s="104"/>
      <c r="P202" s="81"/>
      <c r="Q202" s="81"/>
      <c r="R202" s="81"/>
      <c r="S202" s="81"/>
      <c r="T202" s="81"/>
      <c r="U202" s="81"/>
      <c r="V202" s="81"/>
      <c r="W202" s="81"/>
      <c r="X202" s="81"/>
      <c r="Y202" s="81"/>
    </row>
    <row r="203" spans="1:25">
      <c r="A203" s="81"/>
      <c r="B203" s="98" t="s">
        <v>104</v>
      </c>
      <c r="C203" s="90" t="str">
        <f>IF(C202&gt;15%,"BUY",IF(C202&lt;-10%,"SELL","HOLD"))</f>
        <v>HOLD</v>
      </c>
      <c r="D203" s="81"/>
      <c r="E203" s="103"/>
      <c r="F203" s="103"/>
      <c r="G203" s="103"/>
      <c r="H203" s="103"/>
      <c r="I203" s="103"/>
      <c r="J203" s="103"/>
      <c r="K203" s="104"/>
      <c r="L203" s="104"/>
      <c r="M203" s="104"/>
      <c r="N203" s="104"/>
      <c r="O203" s="104"/>
      <c r="P203" s="81"/>
      <c r="Q203" s="81"/>
      <c r="R203" s="81"/>
      <c r="S203" s="81"/>
      <c r="T203" s="81"/>
      <c r="U203" s="81"/>
      <c r="V203" s="81"/>
      <c r="W203" s="81"/>
      <c r="X203" s="81"/>
      <c r="Y203" s="81"/>
    </row>
    <row r="204" spans="1:25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2"/>
      <c r="L204" s="82"/>
      <c r="M204" s="82"/>
      <c r="N204" s="82"/>
      <c r="O204" s="82"/>
      <c r="P204" s="81"/>
      <c r="Q204" s="81"/>
      <c r="R204" s="81"/>
      <c r="S204" s="81"/>
      <c r="T204" s="81"/>
      <c r="U204" s="81"/>
      <c r="V204" s="81"/>
      <c r="W204" s="81"/>
      <c r="X204" s="81"/>
      <c r="Y204" s="81"/>
    </row>
    <row r="205" spans="1:2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2"/>
      <c r="L205" s="82"/>
      <c r="M205" s="82"/>
      <c r="N205" s="82"/>
      <c r="O205" s="82"/>
      <c r="P205" s="81"/>
      <c r="Q205" s="81"/>
      <c r="R205" s="81"/>
      <c r="S205" s="81"/>
      <c r="T205" s="81"/>
      <c r="U205" s="81"/>
      <c r="V205" s="81"/>
      <c r="W205" s="81"/>
      <c r="X205" s="81"/>
      <c r="Y205" s="81"/>
    </row>
    <row r="206" spans="1:25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2"/>
      <c r="L206" s="82"/>
      <c r="M206" s="82"/>
      <c r="N206" s="82"/>
      <c r="O206" s="82"/>
      <c r="P206" s="81"/>
      <c r="Q206" s="81"/>
      <c r="R206" s="81"/>
      <c r="S206" s="81"/>
      <c r="T206" s="81"/>
      <c r="U206" s="81"/>
      <c r="V206" s="81"/>
      <c r="W206" s="81"/>
      <c r="X206" s="81"/>
      <c r="Y206" s="81"/>
    </row>
    <row r="207" spans="1:25" ht="20.100000000000001" customHeight="1">
      <c r="A207" s="81"/>
      <c r="B207" s="102" t="s">
        <v>231</v>
      </c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81"/>
      <c r="Q207" s="81"/>
      <c r="R207" s="81"/>
      <c r="S207" s="81"/>
      <c r="T207" s="81"/>
      <c r="U207" s="81"/>
      <c r="V207" s="81"/>
      <c r="W207" s="81"/>
      <c r="X207" s="81"/>
      <c r="Y207" s="81"/>
    </row>
    <row r="208" spans="1:25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2"/>
      <c r="L208" s="82"/>
      <c r="M208" s="82"/>
      <c r="N208" s="82"/>
      <c r="O208" s="82"/>
      <c r="P208" s="81"/>
      <c r="Q208" s="81"/>
      <c r="R208" s="81"/>
      <c r="S208" s="81"/>
      <c r="T208" s="81"/>
      <c r="U208" s="81"/>
      <c r="V208" s="81"/>
      <c r="W208" s="81"/>
      <c r="X208" s="81"/>
      <c r="Y208" s="81"/>
    </row>
    <row r="209" spans="1:25">
      <c r="A209" s="81"/>
      <c r="B209" s="105" t="s">
        <v>232</v>
      </c>
      <c r="C209" s="105"/>
      <c r="D209" s="105"/>
      <c r="E209" s="105"/>
      <c r="F209" s="105"/>
      <c r="G209" s="105"/>
      <c r="H209" s="105"/>
      <c r="I209" s="105"/>
      <c r="J209" s="105"/>
      <c r="K209" s="106"/>
      <c r="L209" s="106"/>
      <c r="M209" s="106"/>
      <c r="N209" s="106"/>
      <c r="O209" s="106"/>
      <c r="P209" s="81"/>
      <c r="Q209" s="81"/>
      <c r="R209" s="81"/>
      <c r="S209" s="81"/>
      <c r="T209" s="81"/>
      <c r="U209" s="81"/>
      <c r="V209" s="81"/>
      <c r="W209" s="81"/>
      <c r="X209" s="81"/>
      <c r="Y209" s="81"/>
    </row>
    <row r="210" spans="1:25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2"/>
      <c r="L210" s="82"/>
      <c r="M210" s="82"/>
      <c r="N210" s="82"/>
      <c r="O210" s="82"/>
      <c r="P210" s="81"/>
      <c r="Q210" s="81"/>
      <c r="R210" s="81"/>
      <c r="S210" s="81"/>
      <c r="T210" s="81"/>
      <c r="U210" s="81"/>
      <c r="V210" s="81"/>
      <c r="W210" s="81"/>
      <c r="X210" s="81"/>
      <c r="Y210" s="81"/>
    </row>
    <row r="211" spans="1:25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2"/>
      <c r="L211" s="82"/>
      <c r="M211" s="82"/>
      <c r="N211" s="82"/>
      <c r="O211" s="82"/>
      <c r="P211" s="81"/>
      <c r="Q211" s="81"/>
      <c r="R211" s="81"/>
      <c r="S211" s="81"/>
      <c r="T211" s="81"/>
      <c r="U211" s="81"/>
      <c r="V211" s="81"/>
      <c r="W211" s="81"/>
      <c r="X211" s="81"/>
      <c r="Y211" s="81"/>
    </row>
    <row r="212" spans="1:25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2"/>
      <c r="L212" s="82"/>
      <c r="M212" s="82"/>
      <c r="N212" s="82"/>
      <c r="O212" s="82"/>
      <c r="P212" s="81"/>
      <c r="Q212" s="81"/>
      <c r="R212" s="81"/>
      <c r="S212" s="81"/>
      <c r="T212" s="81"/>
      <c r="U212" s="81"/>
      <c r="V212" s="81"/>
      <c r="W212" s="81"/>
      <c r="X212" s="81"/>
      <c r="Y212" s="81"/>
    </row>
    <row r="213" spans="1:25" ht="20.100000000000001" customHeight="1">
      <c r="A213" s="81"/>
      <c r="B213" s="102" t="s">
        <v>233</v>
      </c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81"/>
      <c r="Q213" s="81"/>
      <c r="R213" s="81"/>
      <c r="S213" s="81"/>
      <c r="T213" s="81"/>
      <c r="U213" s="81"/>
      <c r="V213" s="81"/>
      <c r="W213" s="81"/>
      <c r="X213" s="81"/>
      <c r="Y213" s="81"/>
    </row>
    <row r="214" spans="1:25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2"/>
      <c r="L214" s="82"/>
      <c r="M214" s="82"/>
      <c r="N214" s="82"/>
      <c r="O214" s="82"/>
      <c r="P214" s="81"/>
      <c r="Q214" s="81"/>
      <c r="R214" s="81"/>
      <c r="S214" s="81"/>
      <c r="T214" s="81"/>
      <c r="U214" s="81"/>
      <c r="V214" s="81"/>
      <c r="W214" s="81"/>
      <c r="X214" s="81"/>
      <c r="Y214" s="81"/>
    </row>
    <row r="215" spans="1:25">
      <c r="A215" s="81"/>
      <c r="B215" s="24" t="s">
        <v>234</v>
      </c>
      <c r="C215" s="100" t="s">
        <v>235</v>
      </c>
      <c r="D215" s="100"/>
      <c r="E215" s="100"/>
      <c r="F215" s="100"/>
      <c r="G215" s="100"/>
      <c r="H215" s="100"/>
      <c r="I215" s="100"/>
      <c r="J215" s="100"/>
      <c r="K215" s="101"/>
      <c r="L215" s="101"/>
      <c r="M215" s="101"/>
      <c r="N215" s="101"/>
      <c r="O215" s="101"/>
      <c r="P215" s="81"/>
      <c r="Q215" s="81"/>
      <c r="R215" s="81"/>
      <c r="S215" s="81"/>
      <c r="T215" s="81"/>
      <c r="U215" s="81"/>
      <c r="V215" s="81"/>
      <c r="W215" s="81"/>
      <c r="X215" s="81"/>
      <c r="Y215" s="81"/>
    </row>
    <row r="216" spans="1:25">
      <c r="A216" s="81"/>
      <c r="B216" s="24" t="s">
        <v>236</v>
      </c>
      <c r="C216" s="100" t="s">
        <v>237</v>
      </c>
      <c r="D216" s="100"/>
      <c r="E216" s="100"/>
      <c r="F216" s="100"/>
      <c r="G216" s="100"/>
      <c r="H216" s="100"/>
      <c r="I216" s="100"/>
      <c r="J216" s="100"/>
      <c r="K216" s="101"/>
      <c r="L216" s="101"/>
      <c r="M216" s="101"/>
      <c r="N216" s="101"/>
      <c r="O216" s="101"/>
      <c r="P216" s="81"/>
      <c r="Q216" s="81"/>
      <c r="R216" s="81"/>
      <c r="S216" s="81"/>
      <c r="T216" s="81"/>
      <c r="U216" s="81"/>
      <c r="V216" s="81"/>
      <c r="W216" s="81"/>
      <c r="X216" s="81"/>
      <c r="Y216" s="81"/>
    </row>
    <row r="217" spans="1:25">
      <c r="A217" s="81"/>
      <c r="B217" s="24" t="s">
        <v>238</v>
      </c>
      <c r="C217" s="100" t="s">
        <v>239</v>
      </c>
      <c r="D217" s="100"/>
      <c r="E217" s="100"/>
      <c r="F217" s="100"/>
      <c r="G217" s="100"/>
      <c r="H217" s="100"/>
      <c r="I217" s="100"/>
      <c r="J217" s="100"/>
      <c r="K217" s="101"/>
      <c r="L217" s="101"/>
      <c r="M217" s="101"/>
      <c r="N217" s="101"/>
      <c r="O217" s="101"/>
      <c r="P217" s="81"/>
      <c r="Q217" s="81"/>
      <c r="R217" s="81"/>
      <c r="S217" s="81"/>
      <c r="T217" s="81"/>
      <c r="U217" s="81"/>
      <c r="V217" s="81"/>
      <c r="W217" s="81"/>
      <c r="X217" s="81"/>
      <c r="Y217" s="81"/>
    </row>
    <row r="218" spans="1:25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2"/>
      <c r="L218" s="82"/>
      <c r="M218" s="82"/>
      <c r="N218" s="82"/>
      <c r="O218" s="82"/>
      <c r="P218" s="81"/>
      <c r="Q218" s="81"/>
      <c r="R218" s="81"/>
      <c r="S218" s="81"/>
      <c r="T218" s="81"/>
      <c r="U218" s="81"/>
      <c r="V218" s="81"/>
      <c r="W218" s="81"/>
      <c r="X218" s="81"/>
      <c r="Y218" s="81"/>
    </row>
    <row r="219" spans="1:25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2"/>
      <c r="L219" s="82"/>
      <c r="M219" s="82"/>
      <c r="N219" s="82"/>
      <c r="O219" s="82"/>
      <c r="P219" s="81"/>
      <c r="Q219" s="81"/>
      <c r="R219" s="81"/>
      <c r="S219" s="81"/>
      <c r="T219" s="81"/>
      <c r="U219" s="81"/>
      <c r="V219" s="81"/>
      <c r="W219" s="81"/>
      <c r="X219" s="81"/>
      <c r="Y219" s="81"/>
    </row>
    <row r="220" spans="1:25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2"/>
      <c r="L220" s="82"/>
      <c r="M220" s="82"/>
      <c r="N220" s="82"/>
      <c r="O220" s="82"/>
      <c r="P220" s="81"/>
      <c r="Q220" s="81"/>
      <c r="R220" s="81"/>
      <c r="S220" s="81"/>
      <c r="T220" s="81"/>
      <c r="U220" s="81"/>
      <c r="V220" s="81"/>
      <c r="W220" s="81"/>
      <c r="X220" s="81"/>
      <c r="Y220" s="81"/>
    </row>
    <row r="221" spans="1:25" ht="20.100000000000001" customHeight="1">
      <c r="A221" s="81"/>
      <c r="B221" s="102" t="s">
        <v>240</v>
      </c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81"/>
      <c r="Q221" s="81"/>
      <c r="R221" s="81"/>
      <c r="S221" s="81"/>
      <c r="T221" s="81"/>
      <c r="U221" s="81"/>
      <c r="V221" s="81"/>
      <c r="W221" s="81"/>
      <c r="X221" s="81"/>
      <c r="Y221" s="81"/>
    </row>
    <row r="222" spans="1:25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2"/>
      <c r="L222" s="82"/>
      <c r="M222" s="82"/>
      <c r="N222" s="82"/>
      <c r="O222" s="82"/>
      <c r="P222" s="81"/>
      <c r="Q222" s="81"/>
      <c r="R222" s="81"/>
      <c r="S222" s="81"/>
      <c r="T222" s="81"/>
      <c r="U222" s="81"/>
      <c r="V222" s="81"/>
      <c r="W222" s="81"/>
      <c r="X222" s="81"/>
      <c r="Y222" s="81"/>
    </row>
    <row r="223" spans="1:25">
      <c r="A223" s="81"/>
      <c r="B223" s="24" t="s">
        <v>241</v>
      </c>
      <c r="C223" s="100" t="s">
        <v>242</v>
      </c>
      <c r="D223" s="100"/>
      <c r="E223" s="100"/>
      <c r="F223" s="100"/>
      <c r="G223" s="100"/>
      <c r="H223" s="100"/>
      <c r="I223" s="100"/>
      <c r="J223" s="100"/>
      <c r="K223" s="101"/>
      <c r="L223" s="101"/>
      <c r="M223" s="101"/>
      <c r="N223" s="101"/>
      <c r="O223" s="101"/>
      <c r="P223" s="81"/>
      <c r="Q223" s="81"/>
      <c r="R223" s="81"/>
      <c r="S223" s="81"/>
      <c r="T223" s="81"/>
      <c r="U223" s="81"/>
      <c r="V223" s="81"/>
      <c r="W223" s="81"/>
      <c r="X223" s="81"/>
      <c r="Y223" s="81"/>
    </row>
    <row r="224" spans="1:25">
      <c r="A224" s="81"/>
      <c r="B224" s="24" t="s">
        <v>243</v>
      </c>
      <c r="C224" s="100" t="s">
        <v>244</v>
      </c>
      <c r="D224" s="100"/>
      <c r="E224" s="100"/>
      <c r="F224" s="100"/>
      <c r="G224" s="100"/>
      <c r="H224" s="100"/>
      <c r="I224" s="100"/>
      <c r="J224" s="100"/>
      <c r="K224" s="101"/>
      <c r="L224" s="101"/>
      <c r="M224" s="101"/>
      <c r="N224" s="101"/>
      <c r="O224" s="101"/>
      <c r="P224" s="81"/>
      <c r="Q224" s="81"/>
      <c r="R224" s="81"/>
      <c r="S224" s="81"/>
      <c r="T224" s="81"/>
      <c r="U224" s="81"/>
      <c r="V224" s="81"/>
      <c r="W224" s="81"/>
      <c r="X224" s="81"/>
      <c r="Y224" s="81"/>
    </row>
    <row r="225" spans="1: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2"/>
      <c r="L225" s="82"/>
      <c r="M225" s="82"/>
      <c r="N225" s="82"/>
      <c r="O225" s="82"/>
      <c r="P225" s="81"/>
      <c r="Q225" s="81"/>
      <c r="R225" s="81"/>
      <c r="S225" s="81"/>
      <c r="T225" s="81"/>
      <c r="U225" s="81"/>
      <c r="V225" s="81"/>
      <c r="W225" s="81"/>
      <c r="X225" s="81"/>
      <c r="Y225" s="81"/>
    </row>
    <row r="226" spans="1:25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2"/>
      <c r="L226" s="82"/>
      <c r="M226" s="82"/>
      <c r="N226" s="82"/>
      <c r="O226" s="82"/>
      <c r="P226" s="81"/>
      <c r="Q226" s="81"/>
      <c r="R226" s="81"/>
      <c r="S226" s="81"/>
      <c r="T226" s="81"/>
      <c r="U226" s="81"/>
      <c r="V226" s="81"/>
      <c r="W226" s="81"/>
      <c r="X226" s="81"/>
      <c r="Y226" s="81"/>
    </row>
    <row r="227" spans="1:25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2"/>
      <c r="L227" s="82"/>
      <c r="M227" s="82"/>
      <c r="N227" s="82"/>
      <c r="O227" s="82"/>
      <c r="P227" s="81"/>
      <c r="Q227" s="81"/>
      <c r="R227" s="81"/>
      <c r="S227" s="81"/>
      <c r="T227" s="81"/>
      <c r="U227" s="81"/>
      <c r="V227" s="81"/>
      <c r="W227" s="81"/>
      <c r="X227" s="81"/>
      <c r="Y227" s="81"/>
    </row>
    <row r="228" spans="1:25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</row>
    <row r="229" spans="1:25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</row>
    <row r="230" spans="1:25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</row>
    <row r="231" spans="1:25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</row>
    <row r="232" spans="1:25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</row>
    <row r="233" spans="1:25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</row>
    <row r="234" spans="1:25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</row>
    <row r="235" spans="1:2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</row>
    <row r="236" spans="1:25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</row>
    <row r="237" spans="1:25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</row>
    <row r="238" spans="1:25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</row>
    <row r="239" spans="1:25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</row>
    <row r="240" spans="1:25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</row>
    <row r="241" spans="1:25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</row>
    <row r="242" spans="1:25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</row>
    <row r="243" spans="1:25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</row>
    <row r="244" spans="1:25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</row>
    <row r="245" spans="1:2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</row>
    <row r="246" spans="1:25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</row>
    <row r="247" spans="1:25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</row>
    <row r="248" spans="1:25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</row>
    <row r="249" spans="1:25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</row>
    <row r="250" spans="1:25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</row>
    <row r="251" spans="1:25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</row>
    <row r="252" spans="1:25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</row>
    <row r="253" spans="1:25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</row>
    <row r="254" spans="1:25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</row>
    <row r="255" spans="1:2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</row>
    <row r="256" spans="1:25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</row>
    <row r="257" spans="1:25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</row>
    <row r="258" spans="1:25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</row>
    <row r="259" spans="1:25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</row>
    <row r="260" spans="1:25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</row>
    <row r="261" spans="1:25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</row>
    <row r="262" spans="1:25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</row>
    <row r="263" spans="1:25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</row>
    <row r="264" spans="1:25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</row>
    <row r="265" spans="1:2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</row>
    <row r="266" spans="1:25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</row>
    <row r="267" spans="1:25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</row>
    <row r="268" spans="1:25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</row>
    <row r="269" spans="1:25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</row>
    <row r="270" spans="1:25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</row>
    <row r="271" spans="1:25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</row>
    <row r="272" spans="1:25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</row>
    <row r="273" spans="1:25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</row>
    <row r="274" spans="1:25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</row>
    <row r="275" spans="1:2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</row>
    <row r="276" spans="1:25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</row>
    <row r="277" spans="1:25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</row>
    <row r="278" spans="1:25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</row>
    <row r="279" spans="1:25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</row>
    <row r="280" spans="1:25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</row>
    <row r="281" spans="1:25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</row>
    <row r="282" spans="1:25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</row>
    <row r="283" spans="1:25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</row>
    <row r="284" spans="1:25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</row>
    <row r="285" spans="1:2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</row>
    <row r="286" spans="1:25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</row>
    <row r="287" spans="1:25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</row>
    <row r="288" spans="1:25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</row>
    <row r="289" spans="1:25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</row>
    <row r="290" spans="1:25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</row>
    <row r="291" spans="1:25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</row>
    <row r="292" spans="1:25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</row>
    <row r="293" spans="1:25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</row>
    <row r="294" spans="1:25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</row>
    <row r="295" spans="1:2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</row>
    <row r="296" spans="1:25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</row>
    <row r="297" spans="1:25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</row>
    <row r="298" spans="1:25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</row>
    <row r="299" spans="1:25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</row>
    <row r="300" spans="1:25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</row>
    <row r="301" spans="1:25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</row>
    <row r="302" spans="1:25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</row>
    <row r="303" spans="1:25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</row>
    <row r="304" spans="1:25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</row>
    <row r="305" spans="1:2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</row>
    <row r="306" spans="1:25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</row>
    <row r="307" spans="1:25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</row>
    <row r="308" spans="1:25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</row>
    <row r="309" spans="1:25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</row>
    <row r="310" spans="1:25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</row>
    <row r="311" spans="1:25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</row>
    <row r="312" spans="1:25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</row>
    <row r="313" spans="1:25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</row>
    <row r="314" spans="1:25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</row>
    <row r="315" spans="1:2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</row>
    <row r="316" spans="1:25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</row>
    <row r="317" spans="1:25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</row>
    <row r="318" spans="1:25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</row>
    <row r="319" spans="1:25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</row>
    <row r="320" spans="1:25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</row>
    <row r="321" spans="1:25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</row>
    <row r="322" spans="1:25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</row>
    <row r="323" spans="1:25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</row>
    <row r="324" spans="1:25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</row>
    <row r="325" spans="1: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</row>
    <row r="326" spans="1:25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</row>
    <row r="327" spans="1:25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</row>
    <row r="328" spans="1:25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</row>
    <row r="329" spans="1:25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</row>
    <row r="330" spans="1:25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</row>
    <row r="331" spans="1:25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</row>
    <row r="332" spans="1:25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</row>
    <row r="333" spans="1:25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</row>
    <row r="334" spans="1:25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</row>
    <row r="335" spans="1:2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</row>
    <row r="336" spans="1:25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</row>
    <row r="337" spans="1:25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</row>
    <row r="338" spans="1:25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</row>
    <row r="339" spans="1:25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</row>
    <row r="340" spans="1:25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</row>
    <row r="341" spans="1:25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</row>
    <row r="342" spans="1:25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</row>
    <row r="343" spans="1:25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</row>
    <row r="344" spans="1:25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</row>
    <row r="345" spans="1:2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</row>
    <row r="346" spans="1:25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</row>
    <row r="347" spans="1:25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</row>
    <row r="348" spans="1:25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</row>
    <row r="349" spans="1:25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</row>
    <row r="350" spans="1:25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</row>
    <row r="351" spans="1:25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</row>
    <row r="352" spans="1:25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</row>
    <row r="353" spans="1:25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</row>
    <row r="354" spans="1:25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</row>
    <row r="355" spans="1:2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</row>
    <row r="356" spans="1:25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</row>
    <row r="357" spans="1:25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</row>
    <row r="358" spans="1:25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</row>
    <row r="359" spans="1:25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</row>
    <row r="360" spans="1:25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</row>
    <row r="361" spans="1:25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</row>
  </sheetData>
  <mergeCells count="20">
    <mergeCell ref="B2:O2"/>
    <mergeCell ref="E4:O13"/>
    <mergeCell ref="B17:O17"/>
    <mergeCell ref="B36:O36"/>
    <mergeCell ref="B48:O48"/>
    <mergeCell ref="B84:O84"/>
    <mergeCell ref="B120:O120"/>
    <mergeCell ref="B138:O138"/>
    <mergeCell ref="B162:O162"/>
    <mergeCell ref="B181:O181"/>
    <mergeCell ref="E183:O203"/>
    <mergeCell ref="B207:O207"/>
    <mergeCell ref="B209:O209"/>
    <mergeCell ref="B213:O213"/>
    <mergeCell ref="C223:O223"/>
    <mergeCell ref="C224:O224"/>
    <mergeCell ref="C215:O215"/>
    <mergeCell ref="C216:O216"/>
    <mergeCell ref="C217:O217"/>
    <mergeCell ref="B221:O22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80"/>
  <sheetViews>
    <sheetView zoomScaleNormal="100" zoomScaleSheetLayoutView="100" workbookViewId="0">
      <selection activeCell="G39" sqref="G39"/>
    </sheetView>
  </sheetViews>
  <sheetFormatPr defaultRowHeight="15"/>
  <cols>
    <col min="1" max="1" width="3" customWidth="1"/>
    <col min="2" max="2" width="34" customWidth="1"/>
    <col min="3" max="3" width="22.140625" customWidth="1"/>
    <col min="4" max="5" width="12" customWidth="1"/>
    <col min="6" max="6" width="85.28515625" style="31" customWidth="1"/>
    <col min="7" max="15" width="12" customWidth="1"/>
    <col min="16" max="16" width="2" customWidth="1"/>
    <col min="17" max="25" width="18" customWidth="1"/>
  </cols>
  <sheetData>
    <row r="1" spans="1:25">
      <c r="A1" s="81"/>
      <c r="B1" s="108" t="s">
        <v>245</v>
      </c>
      <c r="C1" s="108"/>
      <c r="D1" s="108"/>
      <c r="E1" s="108"/>
      <c r="F1" s="108"/>
      <c r="G1" s="108"/>
      <c r="H1" s="108"/>
      <c r="I1" s="108"/>
      <c r="J1" s="108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5">
      <c r="A3" s="81"/>
      <c r="B3" s="84" t="s">
        <v>246</v>
      </c>
      <c r="C3" s="84" t="s">
        <v>247</v>
      </c>
      <c r="D3" s="84" t="s">
        <v>248</v>
      </c>
      <c r="E3" s="84" t="s">
        <v>249</v>
      </c>
      <c r="F3" s="84" t="s">
        <v>250</v>
      </c>
      <c r="G3" s="84" t="s">
        <v>251</v>
      </c>
      <c r="H3" s="84" t="s">
        <v>252</v>
      </c>
      <c r="I3" s="84" t="s">
        <v>253</v>
      </c>
      <c r="J3" s="84" t="s">
        <v>254</v>
      </c>
      <c r="K3" s="84" t="s">
        <v>255</v>
      </c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</row>
    <row r="4" spans="1:25">
      <c r="A4" s="81"/>
      <c r="B4" s="81" t="s">
        <v>256</v>
      </c>
      <c r="C4" s="66" t="s">
        <v>257</v>
      </c>
      <c r="D4" s="14">
        <v>33.1</v>
      </c>
      <c r="E4" s="81" t="s">
        <v>258</v>
      </c>
      <c r="F4" s="14" t="s">
        <v>259</v>
      </c>
      <c r="G4" s="14"/>
      <c r="H4" s="14"/>
      <c r="I4" s="14"/>
      <c r="J4" s="14"/>
      <c r="K4" s="14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spans="1:25">
      <c r="A5" s="81"/>
      <c r="B5" s="81" t="s">
        <v>256</v>
      </c>
      <c r="C5" s="67" t="s">
        <v>7</v>
      </c>
      <c r="D5" s="14" t="s">
        <v>260</v>
      </c>
      <c r="E5" s="81" t="s">
        <v>261</v>
      </c>
      <c r="F5" s="14" t="s">
        <v>262</v>
      </c>
      <c r="G5" s="14"/>
      <c r="H5" s="14"/>
      <c r="I5" s="14"/>
      <c r="J5" s="14"/>
      <c r="K5" s="14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</row>
    <row r="6" spans="1:25">
      <c r="A6" s="81"/>
      <c r="B6" s="81" t="s">
        <v>256</v>
      </c>
      <c r="C6" s="68" t="s">
        <v>159</v>
      </c>
      <c r="D6" s="14">
        <v>254.852</v>
      </c>
      <c r="E6" s="81" t="s">
        <v>263</v>
      </c>
      <c r="F6" s="14" t="s">
        <v>264</v>
      </c>
      <c r="G6" s="14"/>
      <c r="H6" s="14"/>
      <c r="I6" s="14"/>
      <c r="J6" s="14"/>
      <c r="K6" s="14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>
      <c r="A7" s="81"/>
      <c r="B7" s="81" t="s">
        <v>265</v>
      </c>
      <c r="C7" s="66" t="s">
        <v>266</v>
      </c>
      <c r="D7" s="14">
        <v>0.1232</v>
      </c>
      <c r="E7" s="81" t="s">
        <v>123</v>
      </c>
      <c r="F7" s="14" t="s">
        <v>267</v>
      </c>
      <c r="G7" s="14"/>
      <c r="H7" s="14"/>
      <c r="I7" s="14"/>
      <c r="J7" s="14"/>
      <c r="K7" s="14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</row>
    <row r="8" spans="1:25">
      <c r="A8" s="81"/>
      <c r="B8" s="81" t="s">
        <v>265</v>
      </c>
      <c r="C8" s="64" t="s">
        <v>268</v>
      </c>
      <c r="D8" s="14">
        <v>0.65</v>
      </c>
      <c r="E8" s="81" t="s">
        <v>199</v>
      </c>
      <c r="F8" s="14" t="s">
        <v>269</v>
      </c>
      <c r="G8" s="14"/>
      <c r="H8" s="14"/>
      <c r="I8" s="14"/>
      <c r="J8" s="14"/>
      <c r="K8" s="14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</row>
    <row r="9" spans="1:25">
      <c r="A9" s="81"/>
      <c r="B9" s="81" t="s">
        <v>265</v>
      </c>
      <c r="C9" s="69" t="s">
        <v>270</v>
      </c>
      <c r="D9" s="14">
        <v>4.4999999999999998E-2</v>
      </c>
      <c r="E9" s="81" t="s">
        <v>123</v>
      </c>
      <c r="F9" s="14" t="s">
        <v>271</v>
      </c>
      <c r="G9" s="14"/>
      <c r="H9" s="14"/>
      <c r="I9" s="14"/>
      <c r="J9" s="14"/>
      <c r="K9" s="14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>
      <c r="A10" s="81"/>
      <c r="B10" s="81" t="s">
        <v>265</v>
      </c>
      <c r="C10" s="64" t="s">
        <v>272</v>
      </c>
      <c r="D10" s="14">
        <f>D7+D8*D9</f>
        <v>0.15245</v>
      </c>
      <c r="E10" s="81" t="s">
        <v>123</v>
      </c>
      <c r="F10" s="14" t="s">
        <v>273</v>
      </c>
      <c r="G10" s="14"/>
      <c r="H10" s="14"/>
      <c r="I10" s="14"/>
      <c r="J10" s="14"/>
      <c r="K10" s="14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</row>
    <row r="11" spans="1:25">
      <c r="A11" s="81"/>
      <c r="B11" s="81" t="s">
        <v>265</v>
      </c>
      <c r="C11" s="64" t="s">
        <v>274</v>
      </c>
      <c r="D11" s="14">
        <v>0.12</v>
      </c>
      <c r="E11" s="81" t="s">
        <v>123</v>
      </c>
      <c r="F11" s="14" t="s">
        <v>275</v>
      </c>
      <c r="G11" s="14"/>
      <c r="H11" s="14"/>
      <c r="I11" s="14"/>
      <c r="J11" s="14"/>
      <c r="K11" s="14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>
      <c r="A12" s="81"/>
      <c r="B12" s="81" t="s">
        <v>265</v>
      </c>
      <c r="C12" s="64" t="s">
        <v>276</v>
      </c>
      <c r="D12" s="14">
        <v>0.23</v>
      </c>
      <c r="E12" s="81" t="s">
        <v>123</v>
      </c>
      <c r="F12" s="14" t="s">
        <v>277</v>
      </c>
      <c r="G12" s="14"/>
      <c r="H12" s="14"/>
      <c r="I12" s="14"/>
      <c r="J12" s="14"/>
      <c r="K12" s="14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>
      <c r="A13" s="81"/>
      <c r="B13" s="81" t="s">
        <v>265</v>
      </c>
      <c r="C13" s="64" t="s">
        <v>278</v>
      </c>
      <c r="D13" s="14">
        <v>0.09</v>
      </c>
      <c r="E13" s="81" t="s">
        <v>123</v>
      </c>
      <c r="F13" s="14" t="s">
        <v>279</v>
      </c>
      <c r="G13" s="14"/>
      <c r="H13" s="14"/>
      <c r="I13" s="14"/>
      <c r="J13" s="14"/>
      <c r="K13" s="14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>
      <c r="A14" s="81"/>
      <c r="B14" s="81" t="s">
        <v>265</v>
      </c>
      <c r="C14" s="64" t="s">
        <v>280</v>
      </c>
      <c r="D14" s="14">
        <f>D10*(1-D13)+D11*(1-D12)*D13</f>
        <v>0.1470455</v>
      </c>
      <c r="E14" s="81" t="s">
        <v>123</v>
      </c>
      <c r="F14" s="14" t="s">
        <v>281</v>
      </c>
      <c r="G14" s="14"/>
      <c r="H14" s="14"/>
      <c r="I14" s="14"/>
      <c r="J14" s="14"/>
      <c r="K14" s="14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>
      <c r="A15" s="81"/>
      <c r="B15" s="81" t="s">
        <v>265</v>
      </c>
      <c r="C15" s="64" t="s">
        <v>282</v>
      </c>
      <c r="D15" s="14">
        <v>0.05</v>
      </c>
      <c r="E15" s="81" t="s">
        <v>123</v>
      </c>
      <c r="F15" s="14" t="s">
        <v>283</v>
      </c>
      <c r="G15" s="14"/>
      <c r="H15" s="14"/>
      <c r="I15" s="14"/>
      <c r="J15" s="14"/>
      <c r="K15" s="14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>
      <c r="A16" s="81"/>
      <c r="B16" s="81" t="s">
        <v>265</v>
      </c>
      <c r="C16" s="64" t="s">
        <v>284</v>
      </c>
      <c r="D16" s="14">
        <v>0.65</v>
      </c>
      <c r="E16" s="81" t="s">
        <v>123</v>
      </c>
      <c r="F16" s="14" t="s">
        <v>285</v>
      </c>
      <c r="G16" s="14"/>
      <c r="H16" s="14"/>
      <c r="I16" s="14"/>
      <c r="J16" s="14"/>
      <c r="K16" s="14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>
      <c r="A17" s="81"/>
      <c r="B17" s="81" t="s">
        <v>265</v>
      </c>
      <c r="C17" s="66" t="s">
        <v>226</v>
      </c>
      <c r="D17" s="14">
        <v>0.2</v>
      </c>
      <c r="E17" s="81" t="s">
        <v>123</v>
      </c>
      <c r="F17" s="14" t="s">
        <v>286</v>
      </c>
      <c r="G17" s="14"/>
      <c r="H17" s="14"/>
      <c r="I17" s="14"/>
      <c r="J17" s="14"/>
      <c r="K17" s="14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>
      <c r="A18" s="81"/>
      <c r="B18" s="81" t="s">
        <v>265</v>
      </c>
      <c r="C18" s="66" t="s">
        <v>227</v>
      </c>
      <c r="D18" s="14">
        <v>0.15</v>
      </c>
      <c r="E18" s="81" t="s">
        <v>123</v>
      </c>
      <c r="F18" s="14" t="s">
        <v>287</v>
      </c>
      <c r="G18" s="14"/>
      <c r="H18" s="14"/>
      <c r="I18" s="14"/>
      <c r="J18" s="14"/>
      <c r="K18" s="14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>
      <c r="A19" s="81"/>
      <c r="B19" s="81" t="s">
        <v>265</v>
      </c>
      <c r="C19" s="66" t="s">
        <v>288</v>
      </c>
      <c r="D19" s="14">
        <v>6</v>
      </c>
      <c r="E19" s="81" t="s">
        <v>199</v>
      </c>
      <c r="F19" s="14" t="s">
        <v>289</v>
      </c>
      <c r="G19" s="14"/>
      <c r="H19" s="14"/>
      <c r="I19" s="14"/>
      <c r="J19" s="14"/>
      <c r="K19" s="14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>
      <c r="A20" s="81"/>
      <c r="B20" s="81" t="s">
        <v>265</v>
      </c>
      <c r="C20" s="70" t="s">
        <v>290</v>
      </c>
      <c r="D20" s="14">
        <v>10</v>
      </c>
      <c r="E20" s="81" t="s">
        <v>199</v>
      </c>
      <c r="F20" s="14" t="s">
        <v>291</v>
      </c>
      <c r="G20" s="14"/>
      <c r="H20" s="14"/>
      <c r="I20" s="14"/>
      <c r="J20" s="14"/>
      <c r="K20" s="14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>
      <c r="A21" s="81"/>
      <c r="B21" s="81" t="s">
        <v>292</v>
      </c>
      <c r="C21" s="64" t="s">
        <v>293</v>
      </c>
      <c r="D21" s="14">
        <f>Segment_Financials!J12</f>
        <v>0.62587422911160318</v>
      </c>
      <c r="E21" s="81" t="s">
        <v>123</v>
      </c>
      <c r="F21" s="14" t="s">
        <v>294</v>
      </c>
      <c r="G21" s="14"/>
      <c r="H21" s="14"/>
      <c r="I21" s="14"/>
      <c r="J21" s="14"/>
      <c r="K21" s="14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>
      <c r="A22" s="81"/>
      <c r="B22" s="81" t="s">
        <v>292</v>
      </c>
      <c r="C22" s="64" t="s">
        <v>295</v>
      </c>
      <c r="D22" s="14">
        <f>Segment_Financials!J13</f>
        <v>0.37412577088839677</v>
      </c>
      <c r="E22" s="81" t="s">
        <v>123</v>
      </c>
      <c r="F22" s="14" t="s">
        <v>296</v>
      </c>
      <c r="G22" s="14"/>
      <c r="H22" s="14"/>
      <c r="I22" s="14"/>
      <c r="J22" s="14"/>
      <c r="K22" s="14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>
      <c r="A23" s="81"/>
      <c r="B23" s="81" t="s">
        <v>292</v>
      </c>
      <c r="C23" s="70" t="s">
        <v>297</v>
      </c>
      <c r="D23" s="14">
        <f>1-D21-D22</f>
        <v>0</v>
      </c>
      <c r="E23" s="81" t="s">
        <v>123</v>
      </c>
      <c r="F23" s="14" t="s">
        <v>298</v>
      </c>
      <c r="G23" s="14"/>
      <c r="H23" s="14"/>
      <c r="I23" s="14"/>
      <c r="J23" s="14"/>
      <c r="K23" s="14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>
      <c r="A24" s="81"/>
      <c r="B24" s="81" t="s">
        <v>299</v>
      </c>
      <c r="C24" s="15" t="s">
        <v>122</v>
      </c>
      <c r="D24" s="14"/>
      <c r="E24" s="81" t="s">
        <v>123</v>
      </c>
      <c r="F24" s="64" t="s">
        <v>300</v>
      </c>
      <c r="G24" s="64">
        <v>3.5000000000000003E-2</v>
      </c>
      <c r="H24" s="64">
        <v>0.04</v>
      </c>
      <c r="I24" s="64">
        <v>4.4999999999999998E-2</v>
      </c>
      <c r="J24" s="64">
        <v>4.4999999999999998E-2</v>
      </c>
      <c r="K24" s="64">
        <v>0.04</v>
      </c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>
      <c r="A25" s="81"/>
      <c r="B25" s="81" t="s">
        <v>299</v>
      </c>
      <c r="C25" s="15" t="s">
        <v>301</v>
      </c>
      <c r="D25" s="14"/>
      <c r="E25" s="81" t="s">
        <v>123</v>
      </c>
      <c r="F25" s="64" t="s">
        <v>302</v>
      </c>
      <c r="G25" s="64">
        <v>1.4999999999999999E-2</v>
      </c>
      <c r="H25" s="64">
        <v>1.4999999999999999E-2</v>
      </c>
      <c r="I25" s="64">
        <v>1.4999999999999999E-2</v>
      </c>
      <c r="J25" s="64">
        <v>1.4999999999999999E-2</v>
      </c>
      <c r="K25" s="64">
        <v>1.4999999999999999E-2</v>
      </c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>
      <c r="A26" s="81"/>
      <c r="B26" s="81" t="s">
        <v>299</v>
      </c>
      <c r="C26" s="15" t="s">
        <v>148</v>
      </c>
      <c r="D26" s="14"/>
      <c r="E26" s="81" t="s">
        <v>123</v>
      </c>
      <c r="F26" s="64" t="s">
        <v>303</v>
      </c>
      <c r="G26" s="64">
        <v>7.0000000000000007E-2</v>
      </c>
      <c r="H26" s="64">
        <v>0.06</v>
      </c>
      <c r="I26" s="64">
        <v>5.5E-2</v>
      </c>
      <c r="J26" s="64">
        <v>0.05</v>
      </c>
      <c r="K26" s="64">
        <v>4.4999999999999998E-2</v>
      </c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>
      <c r="A27" s="81"/>
      <c r="B27" s="81" t="s">
        <v>299</v>
      </c>
      <c r="C27" s="15" t="s">
        <v>127</v>
      </c>
      <c r="D27" s="14"/>
      <c r="E27" s="81" t="s">
        <v>123</v>
      </c>
      <c r="F27" s="64" t="s">
        <v>304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>
      <c r="A28" s="81"/>
      <c r="B28" s="81" t="s">
        <v>299</v>
      </c>
      <c r="C28" s="15" t="s">
        <v>128</v>
      </c>
      <c r="D28" s="14"/>
      <c r="E28" s="81" t="s">
        <v>123</v>
      </c>
      <c r="F28" s="64" t="s">
        <v>305</v>
      </c>
      <c r="G28" s="64">
        <v>0.36</v>
      </c>
      <c r="H28" s="64">
        <v>0.37</v>
      </c>
      <c r="I28" s="64">
        <v>0.375</v>
      </c>
      <c r="J28" s="64">
        <v>0.38</v>
      </c>
      <c r="K28" s="64">
        <v>0.38</v>
      </c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>
      <c r="A29" s="81"/>
      <c r="B29" s="81" t="s">
        <v>299</v>
      </c>
      <c r="C29" s="15" t="s">
        <v>130</v>
      </c>
      <c r="D29" s="14"/>
      <c r="E29" s="81" t="s">
        <v>123</v>
      </c>
      <c r="F29" s="64" t="s">
        <v>306</v>
      </c>
      <c r="G29" s="64">
        <v>0.21</v>
      </c>
      <c r="H29" s="64">
        <v>0.20799999999999999</v>
      </c>
      <c r="I29" s="64">
        <v>0.20499999999999999</v>
      </c>
      <c r="J29" s="64">
        <v>0.20300000000000001</v>
      </c>
      <c r="K29" s="64">
        <v>0.2</v>
      </c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>
      <c r="A30" s="81"/>
      <c r="B30" s="81" t="s">
        <v>299</v>
      </c>
      <c r="C30" s="15" t="s">
        <v>131</v>
      </c>
      <c r="D30" s="14"/>
      <c r="E30" s="81" t="s">
        <v>123</v>
      </c>
      <c r="F30" s="64" t="s">
        <v>307</v>
      </c>
      <c r="G30" s="64">
        <v>7.0000000000000007E-2</v>
      </c>
      <c r="H30" s="64">
        <v>7.0000000000000007E-2</v>
      </c>
      <c r="I30" s="64">
        <v>7.0000000000000007E-2</v>
      </c>
      <c r="J30" s="64">
        <v>6.8000000000000005E-2</v>
      </c>
      <c r="K30" s="64">
        <v>6.8000000000000005E-2</v>
      </c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>
      <c r="A31" s="81"/>
      <c r="B31" s="81" t="s">
        <v>299</v>
      </c>
      <c r="C31" s="15" t="s">
        <v>132</v>
      </c>
      <c r="D31" s="14"/>
      <c r="E31" s="81" t="s">
        <v>123</v>
      </c>
      <c r="F31" s="64" t="s">
        <v>308</v>
      </c>
      <c r="G31" s="64">
        <v>0.18</v>
      </c>
      <c r="H31" s="64">
        <v>0.1</v>
      </c>
      <c r="I31" s="64">
        <v>0.09</v>
      </c>
      <c r="J31" s="64">
        <v>0.08</v>
      </c>
      <c r="K31" s="64">
        <v>0.08</v>
      </c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>
      <c r="A32" s="81"/>
      <c r="B32" s="81" t="s">
        <v>299</v>
      </c>
      <c r="C32" s="15" t="s">
        <v>133</v>
      </c>
      <c r="D32" s="14"/>
      <c r="E32" s="81" t="s">
        <v>134</v>
      </c>
      <c r="F32" s="64" t="s">
        <v>309</v>
      </c>
      <c r="G32" s="64">
        <v>112</v>
      </c>
      <c r="H32" s="64">
        <v>110</v>
      </c>
      <c r="I32" s="64">
        <v>108</v>
      </c>
      <c r="J32" s="64">
        <v>106</v>
      </c>
      <c r="K32" s="64">
        <v>105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>
      <c r="A33" s="81"/>
      <c r="B33" s="81" t="s">
        <v>299</v>
      </c>
      <c r="C33" s="15" t="s">
        <v>135</v>
      </c>
      <c r="D33" s="14"/>
      <c r="E33" s="81" t="s">
        <v>134</v>
      </c>
      <c r="F33" s="64" t="s">
        <v>310</v>
      </c>
      <c r="G33" s="64">
        <v>75</v>
      </c>
      <c r="H33" s="64">
        <v>75</v>
      </c>
      <c r="I33" s="64">
        <v>74</v>
      </c>
      <c r="J33" s="64">
        <v>74</v>
      </c>
      <c r="K33" s="64">
        <v>73</v>
      </c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>
      <c r="A34" s="81"/>
      <c r="B34" s="81" t="s">
        <v>299</v>
      </c>
      <c r="C34" s="15" t="s">
        <v>136</v>
      </c>
      <c r="D34" s="14"/>
      <c r="E34" s="81" t="s">
        <v>134</v>
      </c>
      <c r="F34" s="64" t="s">
        <v>311</v>
      </c>
      <c r="G34" s="64">
        <v>126</v>
      </c>
      <c r="H34" s="64">
        <v>125</v>
      </c>
      <c r="I34" s="64">
        <v>124</v>
      </c>
      <c r="J34" s="64">
        <v>123</v>
      </c>
      <c r="K34" s="64">
        <v>122</v>
      </c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>
      <c r="A35" s="81"/>
      <c r="B35" s="81" t="s">
        <v>299</v>
      </c>
      <c r="C35" s="15" t="s">
        <v>312</v>
      </c>
      <c r="D35" s="14"/>
      <c r="E35" s="81" t="s">
        <v>123</v>
      </c>
      <c r="F35" s="64" t="s">
        <v>313</v>
      </c>
      <c r="G35" s="64">
        <v>5.0000000000000001E-3</v>
      </c>
      <c r="H35" s="64">
        <v>5.0000000000000001E-3</v>
      </c>
      <c r="I35" s="64">
        <v>5.0000000000000001E-3</v>
      </c>
      <c r="J35" s="64">
        <v>5.0000000000000001E-3</v>
      </c>
      <c r="K35" s="64">
        <v>5.0000000000000001E-3</v>
      </c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>
      <c r="A36" s="81"/>
      <c r="B36" s="81" t="s">
        <v>299</v>
      </c>
      <c r="C36" s="15" t="s">
        <v>314</v>
      </c>
      <c r="D36" s="14"/>
      <c r="E36" s="81" t="s">
        <v>123</v>
      </c>
      <c r="F36" s="64" t="s">
        <v>315</v>
      </c>
      <c r="G36" s="64">
        <v>0.04</v>
      </c>
      <c r="H36" s="64">
        <v>0.04</v>
      </c>
      <c r="I36" s="64">
        <v>0.04</v>
      </c>
      <c r="J36" s="64">
        <v>0.04</v>
      </c>
      <c r="K36" s="64">
        <v>0.04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>
      <c r="A37" s="81"/>
      <c r="B37" s="81" t="s">
        <v>299</v>
      </c>
      <c r="C37" s="15" t="s">
        <v>137</v>
      </c>
      <c r="D37" s="14"/>
      <c r="E37" s="81" t="s">
        <v>123</v>
      </c>
      <c r="F37" s="64" t="s">
        <v>316</v>
      </c>
      <c r="G37" s="64">
        <v>0.03</v>
      </c>
      <c r="H37" s="64">
        <v>0.03</v>
      </c>
      <c r="I37" s="64">
        <v>0.03</v>
      </c>
      <c r="J37" s="64">
        <v>0.03</v>
      </c>
      <c r="K37" s="64">
        <v>0.03</v>
      </c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>
      <c r="A38" s="81"/>
      <c r="B38" s="81" t="s">
        <v>299</v>
      </c>
      <c r="C38" s="15" t="s">
        <v>317</v>
      </c>
      <c r="D38" s="14"/>
      <c r="E38" s="81" t="s">
        <v>123</v>
      </c>
      <c r="F38" s="64" t="s">
        <v>318</v>
      </c>
      <c r="G38" s="64">
        <v>0.01</v>
      </c>
      <c r="H38" s="64">
        <v>0.01</v>
      </c>
      <c r="I38" s="64">
        <v>0.01</v>
      </c>
      <c r="J38" s="64">
        <v>0.01</v>
      </c>
      <c r="K38" s="64">
        <v>0.01</v>
      </c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>
      <c r="A39" s="81"/>
      <c r="B39" s="81" t="s">
        <v>299</v>
      </c>
      <c r="C39" s="15" t="s">
        <v>138</v>
      </c>
      <c r="D39" s="14"/>
      <c r="E39" s="81" t="s">
        <v>123</v>
      </c>
      <c r="F39" s="64" t="s">
        <v>319</v>
      </c>
      <c r="G39" s="64">
        <v>0.08</v>
      </c>
      <c r="H39" s="64">
        <v>0.08</v>
      </c>
      <c r="I39" s="64">
        <v>0.08</v>
      </c>
      <c r="J39" s="64">
        <v>0.08</v>
      </c>
      <c r="K39" s="64">
        <v>0.08</v>
      </c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>
      <c r="A40" s="81"/>
      <c r="B40" s="81" t="s">
        <v>320</v>
      </c>
      <c r="C40" s="15" t="s">
        <v>139</v>
      </c>
      <c r="D40" s="14"/>
      <c r="E40" s="81" t="s">
        <v>123</v>
      </c>
      <c r="F40" s="64" t="s">
        <v>321</v>
      </c>
      <c r="G40" s="64">
        <v>0.52</v>
      </c>
      <c r="H40" s="64">
        <v>0.52</v>
      </c>
      <c r="I40" s="64">
        <v>0.52</v>
      </c>
      <c r="J40" s="64">
        <v>0.52</v>
      </c>
      <c r="K40" s="64">
        <v>0.52</v>
      </c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>
      <c r="A73" s="32"/>
      <c r="B73" s="32"/>
      <c r="C73" s="32"/>
      <c r="D73" s="32"/>
      <c r="E73" s="32"/>
      <c r="F73" s="71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</row>
    <row r="74" spans="1:25">
      <c r="A74" s="32"/>
      <c r="B74" s="32"/>
      <c r="C74" s="32"/>
      <c r="D74" s="32"/>
      <c r="E74" s="32"/>
      <c r="F74" s="71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</row>
    <row r="75" spans="1:25">
      <c r="A75" s="32"/>
      <c r="B75" s="32"/>
      <c r="C75" s="32"/>
      <c r="D75" s="32"/>
      <c r="E75" s="32"/>
      <c r="F75" s="71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</row>
    <row r="76" spans="1:25">
      <c r="A76" s="32"/>
      <c r="B76" s="32"/>
      <c r="C76" s="32"/>
      <c r="D76" s="32"/>
      <c r="E76" s="32"/>
      <c r="F76" s="71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</row>
    <row r="77" spans="1:25">
      <c r="A77" s="32"/>
      <c r="B77" s="32"/>
      <c r="C77" s="32"/>
      <c r="D77" s="32"/>
      <c r="E77" s="32"/>
      <c r="F77" s="71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</row>
    <row r="78" spans="1:25">
      <c r="A78" s="32"/>
      <c r="B78" s="32"/>
      <c r="C78" s="32"/>
      <c r="D78" s="32"/>
      <c r="E78" s="32"/>
      <c r="F78" s="71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</row>
    <row r="79" spans="1:25">
      <c r="A79" s="32"/>
      <c r="B79" s="32"/>
      <c r="C79" s="32"/>
      <c r="D79" s="32"/>
      <c r="E79" s="32"/>
      <c r="F79" s="71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</row>
    <row r="80" spans="1:25">
      <c r="A80" s="32"/>
      <c r="B80" s="32"/>
      <c r="C80" s="32"/>
      <c r="D80" s="32"/>
      <c r="E80" s="32"/>
      <c r="F80" s="71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</sheetData>
  <mergeCells count="1">
    <mergeCell ref="B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60"/>
  <sheetViews>
    <sheetView zoomScaleNormal="100" zoomScaleSheetLayoutView="100" workbookViewId="0">
      <selection activeCell="R13" sqref="R13"/>
    </sheetView>
  </sheetViews>
  <sheetFormatPr defaultRowHeight="15"/>
  <cols>
    <col min="1" max="1" width="3" customWidth="1"/>
    <col min="2" max="2" width="38" customWidth="1"/>
    <col min="3" max="15" width="12" customWidth="1"/>
    <col min="16" max="16" width="2" customWidth="1"/>
    <col min="17" max="25" width="18" customWidth="1"/>
  </cols>
  <sheetData>
    <row r="1" spans="1:25" ht="15.75">
      <c r="A1" s="81"/>
      <c r="B1" s="109" t="s">
        <v>322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5">
      <c r="A3" s="81"/>
      <c r="B3" s="72"/>
      <c r="C3" s="72" t="s">
        <v>108</v>
      </c>
      <c r="D3" s="72" t="s">
        <v>109</v>
      </c>
      <c r="E3" s="72" t="s">
        <v>110</v>
      </c>
      <c r="F3" s="72" t="s">
        <v>111</v>
      </c>
      <c r="G3" s="72" t="s">
        <v>112</v>
      </c>
      <c r="H3" s="72" t="s">
        <v>113</v>
      </c>
      <c r="I3" s="72" t="s">
        <v>114</v>
      </c>
      <c r="J3" s="72" t="s">
        <v>115</v>
      </c>
      <c r="K3" s="72" t="s">
        <v>116</v>
      </c>
      <c r="L3" s="72" t="s">
        <v>117</v>
      </c>
      <c r="M3" s="72" t="s">
        <v>118</v>
      </c>
      <c r="N3" s="72" t="s">
        <v>119</v>
      </c>
      <c r="O3" s="72" t="s">
        <v>120</v>
      </c>
      <c r="P3" s="81"/>
      <c r="Q3" s="81"/>
      <c r="R3" s="81"/>
      <c r="S3" s="81"/>
      <c r="T3" s="81"/>
      <c r="U3" s="81"/>
      <c r="V3" s="81"/>
      <c r="W3" s="81"/>
      <c r="X3" s="81"/>
      <c r="Y3" s="81"/>
    </row>
    <row r="4" spans="1:25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spans="1:25">
      <c r="A5" s="81"/>
      <c r="B5" s="73" t="s">
        <v>323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81"/>
      <c r="Q5" s="81"/>
      <c r="R5" s="81"/>
      <c r="S5" s="81"/>
      <c r="T5" s="81"/>
      <c r="U5" s="81"/>
      <c r="V5" s="81"/>
      <c r="W5" s="81"/>
      <c r="X5" s="81"/>
      <c r="Y5" s="81"/>
    </row>
    <row r="6" spans="1:25">
      <c r="A6" s="81"/>
      <c r="B6" s="81" t="s">
        <v>141</v>
      </c>
      <c r="C6" s="81" t="s">
        <v>142</v>
      </c>
      <c r="D6" s="15">
        <v>485.90699999999998</v>
      </c>
      <c r="E6" s="15">
        <v>536.28599999999994</v>
      </c>
      <c r="F6" s="15">
        <v>662.31100000000004</v>
      </c>
      <c r="G6" s="15">
        <v>954.77099999999996</v>
      </c>
      <c r="H6" s="15">
        <v>1082.4159999999999</v>
      </c>
      <c r="I6" s="15">
        <v>1340.8009999999999</v>
      </c>
      <c r="J6" s="15">
        <v>1314.242</v>
      </c>
      <c r="K6" s="15">
        <f>'Carbacid Model'!K38</f>
        <v>1379.9540999999997</v>
      </c>
      <c r="L6" s="15">
        <f>'Carbacid Model'!L38</f>
        <v>1455.8515754999996</v>
      </c>
      <c r="M6" s="15">
        <f>'Carbacid Model'!M38</f>
        <v>1543.2026700299994</v>
      </c>
      <c r="N6" s="15">
        <f>'Carbacid Model'!N38</f>
        <v>1635.7948302317991</v>
      </c>
      <c r="O6" s="15">
        <f>'Carbacid Model'!O38</f>
        <v>1725.7635458945479</v>
      </c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>
      <c r="A7" s="81"/>
      <c r="B7" s="81" t="s">
        <v>324</v>
      </c>
      <c r="C7" s="81" t="s">
        <v>142</v>
      </c>
      <c r="D7" s="15">
        <v>144.59299999999999</v>
      </c>
      <c r="E7" s="15">
        <v>146.59200000000001</v>
      </c>
      <c r="F7" s="15">
        <v>244.27699999999999</v>
      </c>
      <c r="G7" s="15">
        <v>459.88900000000001</v>
      </c>
      <c r="H7" s="15">
        <v>638.52700000000004</v>
      </c>
      <c r="I7" s="15">
        <v>725.51400000000001</v>
      </c>
      <c r="J7" s="15">
        <v>785.60799999999995</v>
      </c>
      <c r="K7" s="15">
        <f>'Carbacid Model'!K39</f>
        <v>840.60055999999997</v>
      </c>
      <c r="L7" s="15">
        <f>'Carbacid Model'!L39</f>
        <v>891.03659360000006</v>
      </c>
      <c r="M7" s="15">
        <f>'Carbacid Model'!M39</f>
        <v>940.04360624800006</v>
      </c>
      <c r="N7" s="15">
        <f>'Carbacid Model'!N39</f>
        <v>987.04578656040007</v>
      </c>
      <c r="O7" s="15">
        <f>'Carbacid Model'!O39</f>
        <v>1031.462846955618</v>
      </c>
      <c r="P7" s="81"/>
      <c r="Q7" s="81"/>
      <c r="R7" s="81"/>
      <c r="S7" s="81"/>
      <c r="T7" s="81"/>
      <c r="U7" s="81"/>
      <c r="V7" s="81"/>
      <c r="W7" s="81"/>
      <c r="X7" s="81"/>
      <c r="Y7" s="81"/>
    </row>
    <row r="8" spans="1:25">
      <c r="A8" s="81"/>
      <c r="B8" s="81" t="s">
        <v>144</v>
      </c>
      <c r="C8" s="81" t="s">
        <v>142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f>'Carbacid Model'!K40</f>
        <v>0</v>
      </c>
      <c r="L8" s="15">
        <f>'Carbacid Model'!L40</f>
        <v>0</v>
      </c>
      <c r="M8" s="15">
        <f>'Carbacid Model'!M40</f>
        <v>0</v>
      </c>
      <c r="N8" s="15">
        <f>'Carbacid Model'!N40</f>
        <v>0</v>
      </c>
      <c r="O8" s="15">
        <f>'Carbacid Model'!O40</f>
        <v>0</v>
      </c>
      <c r="P8" s="81"/>
      <c r="Q8" s="81"/>
      <c r="R8" s="81"/>
      <c r="S8" s="81"/>
      <c r="T8" s="81"/>
      <c r="U8" s="81"/>
      <c r="V8" s="81"/>
      <c r="W8" s="81"/>
      <c r="X8" s="81"/>
      <c r="Y8" s="81"/>
    </row>
    <row r="9" spans="1:25">
      <c r="A9" s="81"/>
      <c r="B9" s="81" t="s">
        <v>145</v>
      </c>
      <c r="C9" s="81" t="s">
        <v>142</v>
      </c>
      <c r="D9" s="15">
        <f>SUM(D6:D8)</f>
        <v>630.5</v>
      </c>
      <c r="E9" s="15">
        <f>SUM(E6:E8)</f>
        <v>682.87799999999993</v>
      </c>
      <c r="F9" s="15">
        <f>SUM(F6:F8)</f>
        <v>906.58799999999997</v>
      </c>
      <c r="G9" s="15">
        <f>SUM(G6:G8)</f>
        <v>1414.6599999999999</v>
      </c>
      <c r="H9" s="15">
        <f>SUM(H6:H8)</f>
        <v>1720.943</v>
      </c>
      <c r="I9" s="15">
        <f>SUM(I6:I8)</f>
        <v>2066.3150000000001</v>
      </c>
      <c r="J9" s="15">
        <f>SUM(J6:J8)</f>
        <v>2099.85</v>
      </c>
      <c r="K9" s="15">
        <f>'Carbacid Model'!K41</f>
        <v>2220.5546599999998</v>
      </c>
      <c r="L9" s="15">
        <f>'Carbacid Model'!L41</f>
        <v>2346.8881690999997</v>
      </c>
      <c r="M9" s="15">
        <f>'Carbacid Model'!M41</f>
        <v>2483.2462762779996</v>
      </c>
      <c r="N9" s="15">
        <f>'Carbacid Model'!N41</f>
        <v>2622.8406167921994</v>
      </c>
      <c r="O9" s="15">
        <f>'Carbacid Model'!O41</f>
        <v>2757.2263928501661</v>
      </c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>
      <c r="A10" s="81"/>
      <c r="B10" s="81" t="s">
        <v>147</v>
      </c>
      <c r="C10" s="81" t="s">
        <v>123</v>
      </c>
      <c r="D10" s="14" t="str">
        <f>""</f>
        <v/>
      </c>
      <c r="E10" s="14">
        <f>IFERROR(E6/D6-1,"")</f>
        <v>0.10368033389105324</v>
      </c>
      <c r="F10" s="14">
        <f>IFERROR(F6/E6-1,"")</f>
        <v>0.23499587906452923</v>
      </c>
      <c r="G10" s="14">
        <f>IFERROR(G6/F6-1,"")</f>
        <v>0.44157503046152025</v>
      </c>
      <c r="H10" s="14">
        <f>IFERROR(H6/G6-1,"")</f>
        <v>0.13369174388413563</v>
      </c>
      <c r="I10" s="14">
        <f>IFERROR(I6/H6-1,"")</f>
        <v>0.23871136420747652</v>
      </c>
      <c r="J10" s="14">
        <f>IFERROR(J6/I6-1,"")</f>
        <v>-1.980830861552163E-2</v>
      </c>
      <c r="K10" s="14">
        <f>IFERROR(K6/J6-1,"")</f>
        <v>4.9999999999999822E-2</v>
      </c>
      <c r="L10" s="14">
        <f>IFERROR(L6/K6-1,"")</f>
        <v>5.4999999999999938E-2</v>
      </c>
      <c r="M10" s="14">
        <f>IFERROR(M6/L6-1,"")</f>
        <v>5.9999999999999831E-2</v>
      </c>
      <c r="N10" s="14">
        <f>IFERROR(N6/M6-1,"")</f>
        <v>5.9999999999999831E-2</v>
      </c>
      <c r="O10" s="14">
        <f>IFERROR(O6/N6-1,"")</f>
        <v>5.4999999999999938E-2</v>
      </c>
      <c r="P10" s="81"/>
      <c r="Q10" s="81"/>
      <c r="R10" s="81"/>
      <c r="S10" s="81"/>
      <c r="T10" s="81"/>
      <c r="U10" s="81"/>
      <c r="V10" s="81"/>
      <c r="W10" s="81"/>
      <c r="X10" s="81"/>
      <c r="Y10" s="81"/>
    </row>
    <row r="11" spans="1:25">
      <c r="A11" s="81"/>
      <c r="B11" s="81" t="s">
        <v>325</v>
      </c>
      <c r="C11" s="81" t="s">
        <v>123</v>
      </c>
      <c r="D11" s="14" t="str">
        <f>""</f>
        <v/>
      </c>
      <c r="E11" s="14">
        <f>IFERROR(E7/D7-1,"")</f>
        <v>1.3825012275836546E-2</v>
      </c>
      <c r="F11" s="14">
        <f>IFERROR(F7/E7-1,"")</f>
        <v>0.66637333551626265</v>
      </c>
      <c r="G11" s="14">
        <f>IFERROR(G7/F7-1,"")</f>
        <v>0.88265370869955029</v>
      </c>
      <c r="H11" s="14">
        <f>IFERROR(H7/G7-1,"")</f>
        <v>0.38843720984846342</v>
      </c>
      <c r="I11" s="14">
        <f>IFERROR(I7/H7-1,"")</f>
        <v>0.13623073104191352</v>
      </c>
      <c r="J11" s="14">
        <f>IFERROR(J7/I7-1,"")</f>
        <v>8.2829552565491404E-2</v>
      </c>
      <c r="K11" s="14">
        <f>IFERROR(K7/J7-1,"")</f>
        <v>7.0000000000000062E-2</v>
      </c>
      <c r="L11" s="14">
        <f>IFERROR(L7/K7-1,"")</f>
        <v>6.0000000000000053E-2</v>
      </c>
      <c r="M11" s="14">
        <f>IFERROR(M7/L7-1,"")</f>
        <v>5.4999999999999938E-2</v>
      </c>
      <c r="N11" s="14">
        <f>IFERROR(N7/M7-1,"")</f>
        <v>5.0000000000000044E-2</v>
      </c>
      <c r="O11" s="14">
        <f>IFERROR(O7/N7-1,"")</f>
        <v>4.4999999999999929E-2</v>
      </c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>
      <c r="A12" s="81"/>
      <c r="B12" s="74" t="s">
        <v>326</v>
      </c>
      <c r="C12" s="74" t="s">
        <v>123</v>
      </c>
      <c r="D12" s="75">
        <f>IFERROR(D6/D9,"")</f>
        <v>0.77066931007137185</v>
      </c>
      <c r="E12" s="75">
        <f>IFERROR(E6/E9,"")</f>
        <v>0.78533207981513531</v>
      </c>
      <c r="F12" s="75">
        <f>IFERROR(F6/F9,"")</f>
        <v>0.73055345978548147</v>
      </c>
      <c r="G12" s="75">
        <f>IFERROR(G6/G9,"")</f>
        <v>0.67491199298771443</v>
      </c>
      <c r="H12" s="75">
        <f>IFERROR(H6/H9,"")</f>
        <v>0.62896679320581794</v>
      </c>
      <c r="I12" s="75">
        <f>IFERROR(I6/I9,"")</f>
        <v>0.6488850925439732</v>
      </c>
      <c r="J12" s="75">
        <f>IFERROR(J6/J9,"")</f>
        <v>0.62587422911160318</v>
      </c>
      <c r="K12" s="75">
        <f>IFERROR(K6/K9,"")</f>
        <v>0.62144567970238562</v>
      </c>
      <c r="L12" s="75">
        <f>IFERROR(L6/L9,"")</f>
        <v>0.62033274302043084</v>
      </c>
      <c r="M12" s="75">
        <f>IFERROR(M6/M9,"")</f>
        <v>0.62144567970238551</v>
      </c>
      <c r="N12" s="75">
        <f>IFERROR(N6/N9,"")</f>
        <v>0.62367298255142078</v>
      </c>
      <c r="O12" s="75">
        <f>IFERROR(O6/O9,"")</f>
        <v>0.62590563849587</v>
      </c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>
      <c r="A13" s="81"/>
      <c r="B13" s="81" t="s">
        <v>295</v>
      </c>
      <c r="C13" s="81" t="s">
        <v>123</v>
      </c>
      <c r="D13" s="14">
        <f>IFERROR(D7/D9,"")</f>
        <v>0.22933068992862807</v>
      </c>
      <c r="E13" s="14">
        <f>IFERROR(E7/E9,"")</f>
        <v>0.21466792018486469</v>
      </c>
      <c r="F13" s="14">
        <f>IFERROR(F7/F9,"")</f>
        <v>0.26944654021451858</v>
      </c>
      <c r="G13" s="14">
        <f>IFERROR(G7/G9,"")</f>
        <v>0.32508800701228568</v>
      </c>
      <c r="H13" s="14">
        <f>IFERROR(H7/H9,"")</f>
        <v>0.37103320679418206</v>
      </c>
      <c r="I13" s="14">
        <f>IFERROR(I7/I9,"")</f>
        <v>0.3511149074560268</v>
      </c>
      <c r="J13" s="14">
        <f>IFERROR(J7/J9,"")</f>
        <v>0.37412577088839677</v>
      </c>
      <c r="K13" s="14">
        <f>IFERROR(K7/K9,"")</f>
        <v>0.37855432029761432</v>
      </c>
      <c r="L13" s="14">
        <f>IFERROR(L7/L9,"")</f>
        <v>0.3796672569795691</v>
      </c>
      <c r="M13" s="14">
        <f>IFERROR(M7/M9,"")</f>
        <v>0.37855432029761438</v>
      </c>
      <c r="N13" s="14">
        <f>IFERROR(N7/N9,"")</f>
        <v>0.3763270174485791</v>
      </c>
      <c r="O13" s="14">
        <f>IFERROR(O7/O9,"")</f>
        <v>0.37409436150412989</v>
      </c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>
      <c r="A14" s="81"/>
      <c r="B14" s="81" t="s">
        <v>327</v>
      </c>
      <c r="C14" s="81" t="s">
        <v>142</v>
      </c>
      <c r="D14" s="15">
        <v>371.28300000000002</v>
      </c>
      <c r="E14" s="15">
        <v>464.40499999999997</v>
      </c>
      <c r="F14" s="15">
        <v>437.065</v>
      </c>
      <c r="G14" s="15">
        <v>422.21499999999997</v>
      </c>
      <c r="H14" s="15">
        <v>394.02300000000002</v>
      </c>
      <c r="I14" s="15">
        <v>501.65199999999999</v>
      </c>
      <c r="J14" s="15">
        <v>613.39700000000005</v>
      </c>
      <c r="K14" s="15">
        <f>K9-K15</f>
        <v>688.37194460000001</v>
      </c>
      <c r="L14" s="15">
        <f>L9-L15</f>
        <v>751.00421411199977</v>
      </c>
      <c r="M14" s="15">
        <f>M9-M15</f>
        <v>819.47127117173977</v>
      </c>
      <c r="N14" s="15">
        <f>N9-N15</f>
        <v>891.76580970934765</v>
      </c>
      <c r="O14" s="15">
        <f>O9-O15</f>
        <v>965.02923749755814</v>
      </c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>
      <c r="A15" s="81"/>
      <c r="B15" s="81" t="s">
        <v>328</v>
      </c>
      <c r="C15" s="81" t="s">
        <v>142</v>
      </c>
      <c r="D15" s="15">
        <v>259.21699999999998</v>
      </c>
      <c r="E15" s="15">
        <v>218.47300000000001</v>
      </c>
      <c r="F15" s="15">
        <v>469.52300000000002</v>
      </c>
      <c r="G15" s="15">
        <v>992.44500000000005</v>
      </c>
      <c r="H15" s="15">
        <v>1326.92</v>
      </c>
      <c r="I15" s="15">
        <v>1564.663</v>
      </c>
      <c r="J15" s="15">
        <v>1486.453</v>
      </c>
      <c r="K15" s="15">
        <f>K9*K16</f>
        <v>1532.1827153999998</v>
      </c>
      <c r="L15" s="15">
        <f>L9*L16</f>
        <v>1595.8839549879999</v>
      </c>
      <c r="M15" s="15">
        <f>M9*M16</f>
        <v>1663.7750051062599</v>
      </c>
      <c r="N15" s="15">
        <f>N9*N16</f>
        <v>1731.0748070828517</v>
      </c>
      <c r="O15" s="15">
        <f>O9*O16</f>
        <v>1792.197155352608</v>
      </c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>
      <c r="A16" s="81"/>
      <c r="B16" s="81" t="s">
        <v>329</v>
      </c>
      <c r="C16" s="81" t="s">
        <v>123</v>
      </c>
      <c r="D16" s="14">
        <f>IFERROR(D15/D9,"")</f>
        <v>0.41112926249008719</v>
      </c>
      <c r="E16" s="14">
        <f>IFERROR(E15/E9,"")</f>
        <v>0.31992976783554317</v>
      </c>
      <c r="F16" s="14">
        <f>IFERROR(F15/F9,"")</f>
        <v>0.51790118554403985</v>
      </c>
      <c r="G16" s="14">
        <f>IFERROR(G15/G9,"")</f>
        <v>0.70154312697043819</v>
      </c>
      <c r="H16" s="14">
        <f>IFERROR(H15/H9,"")</f>
        <v>0.77104238780714995</v>
      </c>
      <c r="I16" s="14">
        <f>IFERROR(I15/I9,"")</f>
        <v>0.7572238501874109</v>
      </c>
      <c r="J16" s="14">
        <f>IFERROR(J15/J9,"")</f>
        <v>0.70788532514227209</v>
      </c>
      <c r="K16" s="14">
        <v>0.69</v>
      </c>
      <c r="L16" s="14">
        <v>0.68</v>
      </c>
      <c r="M16" s="14">
        <v>0.67</v>
      </c>
      <c r="N16" s="14">
        <v>0.66</v>
      </c>
      <c r="O16" s="14">
        <v>0.65</v>
      </c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>
      <c r="A17" s="81"/>
      <c r="B17" s="81"/>
      <c r="C17" s="81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>
      <c r="A18" s="81"/>
      <c r="B18" s="73" t="s">
        <v>330</v>
      </c>
      <c r="C18" s="73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>
      <c r="A19" s="81"/>
      <c r="B19" s="81" t="s">
        <v>331</v>
      </c>
      <c r="C19" s="81" t="s">
        <v>142</v>
      </c>
      <c r="D19" s="15">
        <v>630.5</v>
      </c>
      <c r="E19" s="15">
        <v>682.87800000000004</v>
      </c>
      <c r="F19" s="15">
        <v>906.58799999999997</v>
      </c>
      <c r="G19" s="15">
        <v>1414.66</v>
      </c>
      <c r="H19" s="15">
        <v>1720.943</v>
      </c>
      <c r="I19" s="15">
        <v>2066.3150000000001</v>
      </c>
      <c r="J19" s="15">
        <v>2099.85</v>
      </c>
      <c r="K19" s="15">
        <f>'Carbacid Model'!K41</f>
        <v>2220.5546599999998</v>
      </c>
      <c r="L19" s="15">
        <f>'Carbacid Model'!L41</f>
        <v>2346.8881690999997</v>
      </c>
      <c r="M19" s="15">
        <f>'Carbacid Model'!M41</f>
        <v>2483.2462762779996</v>
      </c>
      <c r="N19" s="15">
        <f>'Carbacid Model'!N41</f>
        <v>2622.8406167921994</v>
      </c>
      <c r="O19" s="15">
        <f>'Carbacid Model'!O41</f>
        <v>2757.2263928501661</v>
      </c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>
      <c r="A20" s="81"/>
      <c r="B20" s="81" t="s">
        <v>332</v>
      </c>
      <c r="C20" s="81" t="s">
        <v>142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>
      <c r="A21" s="81"/>
      <c r="B21" s="81" t="s">
        <v>333</v>
      </c>
      <c r="C21" s="81" t="s">
        <v>142</v>
      </c>
      <c r="D21" s="15">
        <v>1.9790000000000001</v>
      </c>
      <c r="E21" s="15">
        <v>3.5999999999999997E-2</v>
      </c>
      <c r="F21" s="15">
        <v>1E-3</v>
      </c>
      <c r="G21" s="15">
        <v>0.98499999999999999</v>
      </c>
      <c r="H21" s="15">
        <v>0.79100000000000004</v>
      </c>
      <c r="I21" s="15">
        <v>1.373</v>
      </c>
      <c r="J21" s="15">
        <v>3.1960000000000002</v>
      </c>
      <c r="K21" s="15">
        <f>'Carbacid Model'!K60*0.01</f>
        <v>1.8934976000000001</v>
      </c>
      <c r="L21" s="15">
        <f>'Carbacid Model'!L60*0.01</f>
        <v>1.9503025279999997</v>
      </c>
      <c r="M21" s="15">
        <f>'Carbacid Model'!M60*0.01</f>
        <v>2.0088116038399999</v>
      </c>
      <c r="N21" s="15">
        <f>'Carbacid Model'!N60*0.01</f>
        <v>2.0690759519552002</v>
      </c>
      <c r="O21" s="15">
        <f>'Carbacid Model'!O60*0.01</f>
        <v>2.1311482305138565</v>
      </c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>
      <c r="A22" s="81"/>
      <c r="B22" s="81" t="s">
        <v>334</v>
      </c>
      <c r="C22" s="81" t="s">
        <v>142</v>
      </c>
      <c r="D22" s="15">
        <v>159.935</v>
      </c>
      <c r="E22" s="15">
        <v>186.84100000000001</v>
      </c>
      <c r="F22" s="15">
        <v>196.28899999999999</v>
      </c>
      <c r="G22" s="15">
        <v>242.41900000000001</v>
      </c>
      <c r="H22" s="15">
        <v>254.50299999999999</v>
      </c>
      <c r="I22" s="15">
        <v>272.096</v>
      </c>
      <c r="J22" s="15">
        <v>260.75900000000001</v>
      </c>
      <c r="K22" s="15">
        <f>'Carbacid Model'!K60-K21</f>
        <v>187.45626240000001</v>
      </c>
      <c r="L22" s="15">
        <f>'Carbacid Model'!L60-L21</f>
        <v>193.07995027199996</v>
      </c>
      <c r="M22" s="15">
        <f>'Carbacid Model'!M60-M21</f>
        <v>198.87234878016</v>
      </c>
      <c r="N22" s="15">
        <f>'Carbacid Model'!N60-N21</f>
        <v>204.8385192435648</v>
      </c>
      <c r="O22" s="15">
        <f>'Carbacid Model'!O60-O21</f>
        <v>210.98367482087178</v>
      </c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>
      <c r="A23" s="81"/>
      <c r="B23" s="81" t="s">
        <v>32</v>
      </c>
      <c r="C23" s="81" t="s">
        <v>142</v>
      </c>
      <c r="D23" s="15">
        <v>4.5999999999999996</v>
      </c>
      <c r="E23" s="15">
        <v>-2.3490000000000002</v>
      </c>
      <c r="F23" s="15">
        <v>-2.5910000000000002</v>
      </c>
      <c r="G23" s="15">
        <v>0</v>
      </c>
      <c r="H23" s="15">
        <v>-2.4889999999999999</v>
      </c>
      <c r="I23" s="15">
        <v>-4.8600000000000003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>
      <c r="A24" s="81"/>
      <c r="B24" s="81" t="s">
        <v>335</v>
      </c>
      <c r="C24" s="81" t="s">
        <v>142</v>
      </c>
      <c r="D24" s="15">
        <v>247.78299999999999</v>
      </c>
      <c r="E24" s="15">
        <v>264.702</v>
      </c>
      <c r="F24" s="15">
        <v>352.96</v>
      </c>
      <c r="G24" s="15">
        <v>620.68399999999997</v>
      </c>
      <c r="H24" s="15">
        <v>764.67100000000005</v>
      </c>
      <c r="I24" s="15">
        <v>867.202</v>
      </c>
      <c r="J24" s="15">
        <v>915.70699999999999</v>
      </c>
      <c r="K24" s="15">
        <f>'Carbacid Model'!K55+K21</f>
        <v>956.73200139999994</v>
      </c>
      <c r="L24" s="15">
        <f>'Carbacid Model'!L55+L21</f>
        <v>992.33710988819985</v>
      </c>
      <c r="M24" s="15">
        <f>'Carbacid Model'!M55+M21</f>
        <v>1044.9722476406</v>
      </c>
      <c r="N24" s="15">
        <f>'Carbacid Model'!N55+N21</f>
        <v>1095.7936131543024</v>
      </c>
      <c r="O24" s="15">
        <f>'Carbacid Model'!O55+O21</f>
        <v>1160.1662332275837</v>
      </c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>
      <c r="A25" s="81"/>
      <c r="B25" s="81" t="s">
        <v>336</v>
      </c>
      <c r="C25" s="81" t="s">
        <v>142</v>
      </c>
      <c r="D25" s="15">
        <v>129.37</v>
      </c>
      <c r="E25" s="15">
        <v>162.25700000000001</v>
      </c>
      <c r="F25" s="15">
        <v>187.30500000000001</v>
      </c>
      <c r="G25" s="15">
        <v>293.14499999999998</v>
      </c>
      <c r="H25" s="15">
        <v>316.44499999999999</v>
      </c>
      <c r="I25" s="15">
        <v>256.55599999999998</v>
      </c>
      <c r="J25" s="15">
        <v>372.85700000000003</v>
      </c>
      <c r="K25" s="15">
        <f>'Carbacid Model'!K64-K24</f>
        <v>98.847140399999944</v>
      </c>
      <c r="L25" s="15">
        <f>'Carbacid Model'!L64-L24</f>
        <v>113.33174047200009</v>
      </c>
      <c r="M25" s="15">
        <f>'Carbacid Model'!M64-M24</f>
        <v>127.09895996015985</v>
      </c>
      <c r="N25" s="15">
        <f>'Carbacid Model'!N64-N24</f>
        <v>140.24246930556478</v>
      </c>
      <c r="O25" s="15">
        <f>'Carbacid Model'!O64-O24</f>
        <v>152.84722987667169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>
      <c r="A26" s="81"/>
      <c r="B26" s="81" t="s">
        <v>337</v>
      </c>
      <c r="C26" s="81" t="s">
        <v>142</v>
      </c>
      <c r="D26" s="15">
        <v>377.15300000000002</v>
      </c>
      <c r="E26" s="15">
        <v>426.959</v>
      </c>
      <c r="F26" s="15">
        <v>540.26499999999999</v>
      </c>
      <c r="G26" s="15">
        <v>913.82899999999995</v>
      </c>
      <c r="H26" s="15">
        <v>1080.982</v>
      </c>
      <c r="I26" s="15">
        <v>1123.758</v>
      </c>
      <c r="J26" s="15">
        <v>1288.5640000000001</v>
      </c>
      <c r="K26" s="15">
        <f>'Carbacid Model'!K64</f>
        <v>1055.5791417999999</v>
      </c>
      <c r="L26" s="15">
        <f>'Carbacid Model'!L64</f>
        <v>1105.6688503601999</v>
      </c>
      <c r="M26" s="15">
        <f>'Carbacid Model'!M64</f>
        <v>1172.0712076007599</v>
      </c>
      <c r="N26" s="15">
        <f>'Carbacid Model'!N64</f>
        <v>1236.0360824598672</v>
      </c>
      <c r="O26" s="15">
        <f>'Carbacid Model'!O64</f>
        <v>1313.0134631042554</v>
      </c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>
      <c r="A27" s="81"/>
      <c r="B27" s="81" t="s">
        <v>338</v>
      </c>
      <c r="C27" s="81" t="s">
        <v>123</v>
      </c>
      <c r="D27" s="14">
        <f>IFERROR(D24/D19,"")</f>
        <v>0.39299444885011892</v>
      </c>
      <c r="E27" s="14">
        <f>IFERROR(E24/E19,"")</f>
        <v>0.38762707247853934</v>
      </c>
      <c r="F27" s="14">
        <f>IFERROR(F24/F19,"")</f>
        <v>0.38932789756758307</v>
      </c>
      <c r="G27" s="14">
        <f>IFERROR(G24/G19,"")</f>
        <v>0.43875136075099314</v>
      </c>
      <c r="H27" s="14">
        <f>IFERROR(H24/H19,"")</f>
        <v>0.44433255488415369</v>
      </c>
      <c r="I27" s="14">
        <f>IFERROR(I24/I19,"")</f>
        <v>0.41968528515739373</v>
      </c>
      <c r="J27" s="14">
        <f>IFERROR(J24/J19,"")</f>
        <v>0.43608210110245971</v>
      </c>
      <c r="K27" s="14">
        <f>IFERROR(K24/K19,"")</f>
        <v>0.43085271379899293</v>
      </c>
      <c r="L27" s="14">
        <f>IFERROR(L24/L19,"")</f>
        <v>0.42283101638743525</v>
      </c>
      <c r="M27" s="14">
        <f>IFERROR(M24/M19,"")</f>
        <v>0.42080894578319916</v>
      </c>
      <c r="N27" s="14">
        <f>IFERROR(N24/N19,"")</f>
        <v>0.41778886835086676</v>
      </c>
      <c r="O27" s="14">
        <f>IFERROR(O24/O19,"")</f>
        <v>0.42077293189853404</v>
      </c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>
      <c r="A28" s="81"/>
      <c r="B28" s="81" t="s">
        <v>339</v>
      </c>
      <c r="C28" s="81" t="s">
        <v>123</v>
      </c>
      <c r="D28" s="14">
        <f>IFERROR(D25/D32,"")</f>
        <v>5.4493973102209589E-2</v>
      </c>
      <c r="E28" s="14">
        <f>IFERROR(E25/E32,"")</f>
        <v>7.2854128753846295E-2</v>
      </c>
      <c r="F28" s="14">
        <f>IFERROR(F25/F32,"")</f>
        <v>7.3941330916322989E-2</v>
      </c>
      <c r="G28" s="14">
        <f>IFERROR(G25/G32,"")</f>
        <v>9.3607203870164288E-2</v>
      </c>
      <c r="H28" s="14">
        <f>IFERROR(H25/H32,"")</f>
        <v>8.9543770886566662E-2</v>
      </c>
      <c r="I28" s="14">
        <f>IFERROR(I25/I32,"")</f>
        <v>5.231706889337151E-2</v>
      </c>
      <c r="J28" s="14">
        <f>IFERROR(J25/J32,"")</f>
        <v>6.7349365860319838E-2</v>
      </c>
      <c r="K28" s="14">
        <f>IFERROR(K25/K32,"")</f>
        <v>1.1594472007986311E-2</v>
      </c>
      <c r="L28" s="14">
        <f>IFERROR(L25/L32,"")</f>
        <v>1.3059454008529843E-2</v>
      </c>
      <c r="M28" s="14">
        <f>IFERROR(M25/M32,"")</f>
        <v>1.4410718414389165E-2</v>
      </c>
      <c r="N28" s="14">
        <f>IFERROR(N25/N32,"")</f>
        <v>1.5666262862755402E-2</v>
      </c>
      <c r="O28" s="14">
        <f>IFERROR(O25/O32,"")</f>
        <v>1.6803704395607962E-2</v>
      </c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>
      <c r="A30" s="81"/>
      <c r="B30" s="73" t="s">
        <v>340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>
      <c r="A31" s="81"/>
      <c r="B31" s="81" t="s">
        <v>341</v>
      </c>
      <c r="C31" s="81" t="s">
        <v>142</v>
      </c>
      <c r="D31" s="15">
        <v>1129.4780000000001</v>
      </c>
      <c r="E31" s="15">
        <v>1400.682</v>
      </c>
      <c r="F31" s="15">
        <v>1386.067</v>
      </c>
      <c r="G31" s="15">
        <v>1329.5329999999999</v>
      </c>
      <c r="H31" s="15">
        <v>1978.5730000000001</v>
      </c>
      <c r="I31" s="15">
        <v>3216.4949999999999</v>
      </c>
      <c r="J31" s="15">
        <v>3268.6849999999999</v>
      </c>
      <c r="K31" s="15">
        <f>'Carbacid Model'!K93+'Carbacid Model'!K89+'Carbacid Model'!K90+'Carbacid Model'!K92</f>
        <v>5219.5724482142286</v>
      </c>
      <c r="L31" s="15">
        <f>'Carbacid Model'!L93+'Carbacid Model'!L89+'Carbacid Model'!L90+'Carbacid Model'!L92</f>
        <v>5562.2989176328101</v>
      </c>
      <c r="M31" s="15">
        <f>'Carbacid Model'!M93+'Carbacid Model'!M89+'Carbacid Model'!M90+'Carbacid Model'!M92</f>
        <v>5931.738647435961</v>
      </c>
      <c r="N31" s="15">
        <f>'Carbacid Model'!N93+'Carbacid Model'!N89+'Carbacid Model'!N90+'Carbacid Model'!N92</f>
        <v>6331.7817647087568</v>
      </c>
      <c r="O31" s="15">
        <f>'Carbacid Model'!O93+'Carbacid Model'!O89+'Carbacid Model'!O90+'Carbacid Model'!O92</f>
        <v>6758.3214443572379</v>
      </c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>
      <c r="A32" s="81"/>
      <c r="B32" s="81" t="s">
        <v>342</v>
      </c>
      <c r="C32" s="81" t="s">
        <v>142</v>
      </c>
      <c r="D32" s="15">
        <v>2374.0239999999999</v>
      </c>
      <c r="E32" s="15">
        <v>2227.1489999999999</v>
      </c>
      <c r="F32" s="15">
        <v>2533.1570000000002</v>
      </c>
      <c r="G32" s="15">
        <v>3131.65</v>
      </c>
      <c r="H32" s="15">
        <v>3533.97</v>
      </c>
      <c r="I32" s="15">
        <v>4903.8680000000004</v>
      </c>
      <c r="J32" s="15">
        <v>5536.1620000000003</v>
      </c>
      <c r="K32" s="15">
        <f>'Carbacid Model'!K88+'Carbacid Model'!K96+'Carbacid Model'!K97+'Carbacid Model'!K101</f>
        <v>8525.3679798367448</v>
      </c>
      <c r="L32" s="15">
        <f>'Carbacid Model'!L88+'Carbacid Model'!L96+'Carbacid Model'!L97+'Carbacid Model'!L101</f>
        <v>8678.1377229076297</v>
      </c>
      <c r="M32" s="15">
        <f>'Carbacid Model'!M88+'Carbacid Model'!M96+'Carbacid Model'!M97+'Carbacid Model'!M101</f>
        <v>8819.7518198156577</v>
      </c>
      <c r="N32" s="15">
        <f>'Carbacid Model'!N88+'Carbacid Model'!N96+'Carbacid Model'!N97+'Carbacid Model'!N101</f>
        <v>8951.8777090721414</v>
      </c>
      <c r="O32" s="15">
        <f>'Carbacid Model'!O88+'Carbacid Model'!O96+'Carbacid Model'!O97+'Carbacid Model'!O101</f>
        <v>9096.0437221581851</v>
      </c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>
      <c r="A33" s="81"/>
      <c r="B33" s="81" t="s">
        <v>343</v>
      </c>
      <c r="C33" s="81" t="s">
        <v>142</v>
      </c>
      <c r="D33" s="15">
        <v>3503.5010000000002</v>
      </c>
      <c r="E33" s="15">
        <v>3627.8310000000001</v>
      </c>
      <c r="F33" s="15">
        <v>3919.2240000000002</v>
      </c>
      <c r="G33" s="15">
        <v>4461.183</v>
      </c>
      <c r="H33" s="15">
        <v>5512.5429999999997</v>
      </c>
      <c r="I33" s="15">
        <v>8120.3630000000003</v>
      </c>
      <c r="J33" s="15">
        <v>8804.8469999999998</v>
      </c>
      <c r="K33" s="15">
        <f>K31+K32</f>
        <v>13744.940428050973</v>
      </c>
      <c r="L33" s="15">
        <f>L31+L32</f>
        <v>14240.43664054044</v>
      </c>
      <c r="M33" s="15">
        <f>M31+M32</f>
        <v>14751.490467251619</v>
      </c>
      <c r="N33" s="15">
        <f>N31+N32</f>
        <v>15283.659473780899</v>
      </c>
      <c r="O33" s="15">
        <f>O31+O32</f>
        <v>15854.365166515423</v>
      </c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>
      <c r="A34" s="81"/>
      <c r="B34" s="81" t="s">
        <v>344</v>
      </c>
      <c r="C34" s="81" t="s">
        <v>142</v>
      </c>
      <c r="D34" s="15">
        <v>323.40300000000002</v>
      </c>
      <c r="E34" s="15">
        <v>314.5</v>
      </c>
      <c r="F34" s="15">
        <v>164.38399999999999</v>
      </c>
      <c r="G34" s="15">
        <v>593.80899999999997</v>
      </c>
      <c r="H34" s="15">
        <v>795.50400000000002</v>
      </c>
      <c r="I34" s="15">
        <v>2797.8180000000002</v>
      </c>
      <c r="J34" s="15">
        <v>2804.2849999999999</v>
      </c>
      <c r="K34" s="15">
        <f>'Carbacid Model'!K99+'Carbacid Model'!K102+'Carbacid Model'!K105</f>
        <v>975.50284897972608</v>
      </c>
      <c r="L34" s="15">
        <f>'Carbacid Model'!L99+'Carbacid Model'!L102+'Carbacid Model'!L105</f>
        <v>926.97079526267123</v>
      </c>
      <c r="M34" s="15">
        <f>'Carbacid Model'!M99+'Carbacid Model'!M102+'Carbacid Model'!M105</f>
        <v>882.99078918336158</v>
      </c>
      <c r="N34" s="15">
        <f>'Carbacid Model'!N99+'Carbacid Model'!N102+'Carbacid Model'!N105</f>
        <v>845.83613154347233</v>
      </c>
      <c r="O34" s="15">
        <f>'Carbacid Model'!O99+'Carbacid Model'!O102+'Carbacid Model'!O105</f>
        <v>809.17745588653065</v>
      </c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>
      <c r="A35" s="81"/>
      <c r="B35" s="81" t="s">
        <v>345</v>
      </c>
      <c r="C35" s="81" t="s">
        <v>142</v>
      </c>
      <c r="D35" s="15">
        <v>52.606999999999999</v>
      </c>
      <c r="E35" s="15">
        <v>61.234999999999999</v>
      </c>
      <c r="F35" s="15">
        <v>266.041</v>
      </c>
      <c r="G35" s="15">
        <v>38.476999999999997</v>
      </c>
      <c r="H35" s="15">
        <v>321.36200000000002</v>
      </c>
      <c r="I35" s="15">
        <v>351.70299999999997</v>
      </c>
      <c r="J35" s="15">
        <v>451.05099999999999</v>
      </c>
      <c r="K35" s="15">
        <f>'Carbacid Model'!K100+'Carbacid Model'!K103</f>
        <v>173.352964075344</v>
      </c>
      <c r="L35" s="15">
        <f>'Carbacid Model'!L100+'Carbacid Model'!L103</f>
        <v>182.41748830084481</v>
      </c>
      <c r="M35" s="15">
        <f>'Carbacid Model'!M100+'Carbacid Model'!M103</f>
        <v>193.18931335578884</v>
      </c>
      <c r="N35" s="15">
        <f>'Carbacid Model'!N100+'Carbacid Model'!N103</f>
        <v>203.89539415507417</v>
      </c>
      <c r="O35" s="15">
        <f>'Carbacid Model'!O100+'Carbacid Model'!O103</f>
        <v>215.43517383939542</v>
      </c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>
      <c r="A36" s="81"/>
      <c r="B36" s="81" t="s">
        <v>346</v>
      </c>
      <c r="C36" s="81" t="s">
        <v>142</v>
      </c>
      <c r="D36" s="15">
        <v>376.00900000000001</v>
      </c>
      <c r="E36" s="15">
        <v>375.73500000000001</v>
      </c>
      <c r="F36" s="15">
        <v>430.42500000000001</v>
      </c>
      <c r="G36" s="15">
        <v>632.28599999999994</v>
      </c>
      <c r="H36" s="15">
        <v>1116.866</v>
      </c>
      <c r="I36" s="15">
        <v>3149.5210000000002</v>
      </c>
      <c r="J36" s="15">
        <v>3255.3359999999998</v>
      </c>
      <c r="K36" s="15">
        <f>K34+K35</f>
        <v>1148.85581305507</v>
      </c>
      <c r="L36" s="15">
        <f>L34+L35</f>
        <v>1109.3882835635161</v>
      </c>
      <c r="M36" s="15">
        <f>M34+M35</f>
        <v>1076.1801025391505</v>
      </c>
      <c r="N36" s="15">
        <f>N34+N35</f>
        <v>1049.7315256985464</v>
      </c>
      <c r="O36" s="15">
        <f>O34+O35</f>
        <v>1024.6126297259261</v>
      </c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>
      <c r="A37" s="81"/>
      <c r="B37" s="81"/>
      <c r="C37" s="81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>
      <c r="A38" s="81"/>
      <c r="B38" s="73" t="s">
        <v>347</v>
      </c>
      <c r="C38" s="73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>
      <c r="A39" s="81"/>
      <c r="B39" s="81" t="s">
        <v>348</v>
      </c>
      <c r="C39" s="81" t="s">
        <v>142</v>
      </c>
      <c r="D39" s="15">
        <v>-77.31</v>
      </c>
      <c r="E39" s="15">
        <v>-78.44</v>
      </c>
      <c r="F39" s="15">
        <v>-100.804</v>
      </c>
      <c r="G39" s="15">
        <v>-188.297</v>
      </c>
      <c r="H39" s="15">
        <v>-228.214</v>
      </c>
      <c r="I39" s="15">
        <v>-252.529</v>
      </c>
      <c r="J39" s="15">
        <v>-273.87599999999998</v>
      </c>
      <c r="K39" s="15">
        <f>'Carbacid Model'!K65*K27</f>
        <v>-104.60380171105264</v>
      </c>
      <c r="L39" s="15">
        <f>'Carbacid Model'!L65*L27</f>
        <v>-107.527549270718</v>
      </c>
      <c r="M39" s="15">
        <f>'Carbacid Model'!M65*M27</f>
        <v>-113.44015132826289</v>
      </c>
      <c r="N39" s="15">
        <f>'Carbacid Model'!N65*N27</f>
        <v>-118.77248671030171</v>
      </c>
      <c r="O39" s="15">
        <f>'Carbacid Model'!O65*O27</f>
        <v>-127.0705206333038</v>
      </c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>
      <c r="A40" s="81"/>
      <c r="B40" s="81" t="s">
        <v>349</v>
      </c>
      <c r="C40" s="81" t="s">
        <v>142</v>
      </c>
      <c r="D40" s="15">
        <v>-35.253999999999998</v>
      </c>
      <c r="E40" s="15">
        <v>-23.864999999999998</v>
      </c>
      <c r="F40" s="15">
        <v>-24.361999999999998</v>
      </c>
      <c r="G40" s="15">
        <v>-17.867999999999999</v>
      </c>
      <c r="H40" s="15">
        <v>-36.755000000000003</v>
      </c>
      <c r="I40" s="15">
        <v>-27.954999999999998</v>
      </c>
      <c r="J40" s="15">
        <v>-11.773999999999999</v>
      </c>
      <c r="K40" s="15">
        <f>'Carbacid Model'!K65-K39</f>
        <v>-138.17940090294735</v>
      </c>
      <c r="L40" s="15">
        <f>'Carbacid Model'!L65-L39</f>
        <v>-146.77628631212801</v>
      </c>
      <c r="M40" s="15">
        <f>'Carbacid Model'!M65-M39</f>
        <v>-156.13622641991188</v>
      </c>
      <c r="N40" s="15">
        <f>'Carbacid Model'!N65-N39</f>
        <v>-165.51581225546775</v>
      </c>
      <c r="O40" s="15">
        <f>'Carbacid Model'!O65-O39</f>
        <v>-174.92257588067494</v>
      </c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>
      <c r="A41" s="81"/>
      <c r="B41" s="81" t="s">
        <v>350</v>
      </c>
      <c r="C41" s="81" t="s">
        <v>142</v>
      </c>
      <c r="D41" s="15">
        <v>-112.56399999999999</v>
      </c>
      <c r="E41" s="15">
        <v>-102.30500000000001</v>
      </c>
      <c r="F41" s="15">
        <v>-125.166</v>
      </c>
      <c r="G41" s="15">
        <v>-206.16499999999999</v>
      </c>
      <c r="H41" s="15">
        <v>-264.96899999999999</v>
      </c>
      <c r="I41" s="15">
        <v>-280.48399999999998</v>
      </c>
      <c r="J41" s="15">
        <v>-285.64999999999998</v>
      </c>
      <c r="K41" s="15">
        <f>'Carbacid Model'!K65</f>
        <v>-242.78320261399998</v>
      </c>
      <c r="L41" s="15">
        <f>'Carbacid Model'!L65</f>
        <v>-254.30383558284601</v>
      </c>
      <c r="M41" s="15">
        <f>'Carbacid Model'!M65</f>
        <v>-269.57637774817476</v>
      </c>
      <c r="N41" s="15">
        <f>'Carbacid Model'!N65</f>
        <v>-284.28829896576946</v>
      </c>
      <c r="O41" s="15">
        <f>'Carbacid Model'!O65</f>
        <v>-301.99309651397874</v>
      </c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>
      <c r="A42" s="81"/>
      <c r="B42" s="81" t="s">
        <v>351</v>
      </c>
      <c r="C42" s="81" t="s">
        <v>142</v>
      </c>
      <c r="D42" s="15">
        <v>53.573999999999998</v>
      </c>
      <c r="E42" s="15">
        <v>54.587000000000003</v>
      </c>
      <c r="F42" s="15">
        <v>60.716999999999999</v>
      </c>
      <c r="G42" s="15">
        <v>69.025000000000006</v>
      </c>
      <c r="H42" s="15">
        <v>82.936000000000007</v>
      </c>
      <c r="I42" s="15">
        <v>97.046999999999997</v>
      </c>
      <c r="J42" s="15">
        <v>152.66300000000001</v>
      </c>
      <c r="K42" s="15">
        <f>'Carbacid Model'!K57</f>
        <v>155.52523000000002</v>
      </c>
      <c r="L42" s="15">
        <f>'Carbacid Model'!L57</f>
        <v>172.61745261600001</v>
      </c>
      <c r="M42" s="15">
        <f>'Carbacid Model'!M57</f>
        <v>176.96244811657999</v>
      </c>
      <c r="N42" s="15">
        <f>'Carbacid Model'!N57</f>
        <v>175.07039890928587</v>
      </c>
      <c r="O42" s="15">
        <f>'Carbacid Model'!O57</f>
        <v>177.43386473880403</v>
      </c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>
      <c r="A43" s="81"/>
      <c r="B43" s="81" t="s">
        <v>352</v>
      </c>
      <c r="C43" s="81" t="s">
        <v>142</v>
      </c>
      <c r="D43" s="15">
        <v>0</v>
      </c>
      <c r="E43" s="15">
        <v>0</v>
      </c>
      <c r="F43" s="15">
        <v>0</v>
      </c>
      <c r="G43" s="15">
        <v>2.7080000000000002</v>
      </c>
      <c r="H43" s="15">
        <v>3.4000000000000002E-2</v>
      </c>
      <c r="I43" s="15">
        <v>3.4000000000000002E-2</v>
      </c>
      <c r="J43" s="15">
        <v>3.4000000000000002E-2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>
      <c r="A44" s="81"/>
      <c r="B44" s="81" t="s">
        <v>353</v>
      </c>
      <c r="C44" s="81" t="s">
        <v>142</v>
      </c>
      <c r="D44" s="15">
        <v>53.573999999999998</v>
      </c>
      <c r="E44" s="15">
        <v>54.587000000000003</v>
      </c>
      <c r="F44" s="15">
        <v>60.716999999999999</v>
      </c>
      <c r="G44" s="15">
        <v>71.733000000000004</v>
      </c>
      <c r="H44" s="15">
        <v>82.97</v>
      </c>
      <c r="I44" s="15">
        <v>97.081000000000003</v>
      </c>
      <c r="J44" s="15">
        <v>152.697</v>
      </c>
      <c r="K44" s="15">
        <f>K42+K43</f>
        <v>155.52523000000002</v>
      </c>
      <c r="L44" s="15">
        <f>L42+L43</f>
        <v>172.61745261600001</v>
      </c>
      <c r="M44" s="15">
        <f>M42+M43</f>
        <v>176.96244811657999</v>
      </c>
      <c r="N44" s="15">
        <f>N42+N43</f>
        <v>175.07039890928587</v>
      </c>
      <c r="O44" s="15">
        <f>O42+O43</f>
        <v>177.43386473880403</v>
      </c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>
      <c r="A45" s="81"/>
      <c r="B45" s="81" t="s">
        <v>354</v>
      </c>
      <c r="C45" s="81" t="s">
        <v>142</v>
      </c>
      <c r="D45" s="15">
        <v>0.17899999999999999</v>
      </c>
      <c r="E45" s="15">
        <v>0.23899999999999999</v>
      </c>
      <c r="F45" s="15">
        <v>0.23899999999999999</v>
      </c>
      <c r="G45" s="15">
        <v>0.61599999999999999</v>
      </c>
      <c r="H45" s="15">
        <v>0.61599999999999999</v>
      </c>
      <c r="I45" s="15">
        <v>0.27100000000000002</v>
      </c>
      <c r="J45" s="15">
        <v>1.361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>
      <c r="A46" s="81"/>
      <c r="B46" s="81" t="s">
        <v>355</v>
      </c>
      <c r="C46" s="81" t="s">
        <v>142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5.085</v>
      </c>
      <c r="J46" s="15">
        <v>3.2719999999999998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>
      <c r="A47" s="81"/>
      <c r="B47" s="81" t="s">
        <v>356</v>
      </c>
      <c r="C47" s="81" t="s">
        <v>142</v>
      </c>
      <c r="D47" s="15">
        <v>0.95299999999999996</v>
      </c>
      <c r="E47" s="15">
        <v>0.28899999999999998</v>
      </c>
      <c r="F47" s="15">
        <v>0.28899999999999998</v>
      </c>
      <c r="G47" s="15">
        <v>0.28899999999999998</v>
      </c>
      <c r="H47" s="15">
        <v>0.28899999999999998</v>
      </c>
      <c r="I47" s="15">
        <v>0.28899999999999998</v>
      </c>
      <c r="J47" s="15">
        <v>0.28899999999999998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>
      <c r="A48" s="81"/>
      <c r="B48" s="81" t="s">
        <v>357</v>
      </c>
      <c r="C48" s="81" t="s">
        <v>142</v>
      </c>
      <c r="D48" s="15">
        <v>0.95299999999999996</v>
      </c>
      <c r="E48" s="15">
        <v>0.28899999999999998</v>
      </c>
      <c r="F48" s="15">
        <v>0.28899999999999998</v>
      </c>
      <c r="G48" s="15">
        <v>0.28899999999999998</v>
      </c>
      <c r="H48" s="15">
        <v>0.28899999999999998</v>
      </c>
      <c r="I48" s="15">
        <v>5.3739999999999997</v>
      </c>
      <c r="J48" s="15">
        <v>3.5609999999999999</v>
      </c>
      <c r="K48" s="15">
        <f>K46+K47</f>
        <v>0</v>
      </c>
      <c r="L48" s="15">
        <f>L46+L47</f>
        <v>0</v>
      </c>
      <c r="M48" s="15">
        <f>M46+M47</f>
        <v>0</v>
      </c>
      <c r="N48" s="15">
        <f>N46+N47</f>
        <v>0</v>
      </c>
      <c r="O48" s="15">
        <f>O46+O47</f>
        <v>0</v>
      </c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>
      <c r="A49" s="81"/>
      <c r="B49" s="81" t="s">
        <v>358</v>
      </c>
      <c r="C49" s="81" t="s">
        <v>142</v>
      </c>
      <c r="D49" s="15">
        <v>37.017000000000003</v>
      </c>
      <c r="E49" s="15">
        <v>49.856999999999999</v>
      </c>
      <c r="F49" s="15">
        <v>0</v>
      </c>
      <c r="G49" s="15">
        <v>179.959</v>
      </c>
      <c r="H49" s="15">
        <v>467.798</v>
      </c>
      <c r="I49" s="15">
        <v>704.61099999999999</v>
      </c>
      <c r="J49" s="15">
        <v>426.911</v>
      </c>
      <c r="K49" s="15">
        <f>'Carbacid Model'!K123</f>
        <v>399.69983879999995</v>
      </c>
      <c r="L49" s="15">
        <f>'Carbacid Model'!L123</f>
        <v>234.68881690999999</v>
      </c>
      <c r="M49" s="15">
        <f>'Carbacid Model'!M123</f>
        <v>223.49216486501996</v>
      </c>
      <c r="N49" s="15">
        <f>'Carbacid Model'!N123</f>
        <v>209.82724934337597</v>
      </c>
      <c r="O49" s="15">
        <f>'Carbacid Model'!O123</f>
        <v>220.5781114280133</v>
      </c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>
      <c r="A50" s="81"/>
      <c r="B50" s="81" t="s">
        <v>359</v>
      </c>
      <c r="C50" s="81" t="s">
        <v>142</v>
      </c>
      <c r="D50" s="15">
        <v>0.67</v>
      </c>
      <c r="E50" s="15">
        <v>0</v>
      </c>
      <c r="F50" s="15">
        <v>125.589</v>
      </c>
      <c r="G50" s="15">
        <v>0</v>
      </c>
      <c r="H50" s="15">
        <v>0</v>
      </c>
      <c r="I50" s="15">
        <v>1.004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>
      <c r="A51" s="81"/>
      <c r="B51" s="81" t="s">
        <v>360</v>
      </c>
      <c r="C51" s="81" t="s">
        <v>142</v>
      </c>
      <c r="D51" s="15">
        <v>37.686999999999998</v>
      </c>
      <c r="E51" s="15">
        <v>49.856999999999999</v>
      </c>
      <c r="F51" s="15">
        <v>125.589</v>
      </c>
      <c r="G51" s="15">
        <v>179.959</v>
      </c>
      <c r="H51" s="15">
        <v>471.36799999999999</v>
      </c>
      <c r="I51" s="15">
        <v>705.61500000000001</v>
      </c>
      <c r="J51" s="15">
        <v>426.911</v>
      </c>
      <c r="K51" s="15">
        <f>K49+K50</f>
        <v>399.69983879999995</v>
      </c>
      <c r="L51" s="15">
        <f>L49+L50</f>
        <v>234.68881690999999</v>
      </c>
      <c r="M51" s="15">
        <f>M49+M50</f>
        <v>223.49216486501996</v>
      </c>
      <c r="N51" s="15">
        <f>N49+N50</f>
        <v>209.82724934337597</v>
      </c>
      <c r="O51" s="15">
        <f>O49+O50</f>
        <v>220.5781114280133</v>
      </c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</row>
    <row r="81" spans="1:25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</row>
    <row r="82" spans="1:25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</row>
    <row r="83" spans="1:25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</row>
    <row r="84" spans="1:25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</row>
    <row r="85" spans="1:2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</row>
    <row r="86" spans="1:25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</row>
    <row r="87" spans="1:25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</row>
    <row r="88" spans="1:25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</row>
    <row r="89" spans="1:25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</row>
    <row r="90" spans="1:25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</row>
    <row r="91" spans="1:25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</row>
    <row r="92" spans="1:25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</row>
    <row r="93" spans="1:25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</row>
    <row r="94" spans="1:25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</row>
    <row r="95" spans="1:2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</row>
    <row r="96" spans="1:25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</row>
    <row r="97" spans="1:25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</row>
    <row r="98" spans="1:25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</row>
    <row r="99" spans="1:25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</row>
    <row r="100" spans="1:25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</row>
    <row r="101" spans="1:25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</row>
    <row r="102" spans="1:25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</row>
    <row r="103" spans="1:25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</row>
    <row r="104" spans="1:25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</row>
    <row r="105" spans="1:2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</row>
    <row r="106" spans="1:25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</row>
    <row r="107" spans="1:25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</row>
    <row r="108" spans="1:25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</row>
    <row r="109" spans="1:25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</row>
    <row r="110" spans="1:25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</row>
    <row r="111" spans="1:25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</row>
    <row r="112" spans="1:25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</row>
    <row r="113" spans="1:25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</row>
    <row r="114" spans="1:25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</row>
    <row r="115" spans="1:2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</row>
    <row r="116" spans="1:25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</row>
    <row r="117" spans="1:25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</row>
    <row r="118" spans="1:25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</row>
    <row r="119" spans="1:25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</row>
    <row r="120" spans="1:25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</row>
    <row r="121" spans="1:25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</row>
    <row r="122" spans="1:25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</row>
    <row r="123" spans="1:25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</row>
    <row r="124" spans="1:25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</row>
    <row r="125" spans="1: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</row>
    <row r="126" spans="1:25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</row>
    <row r="127" spans="1:25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</row>
    <row r="128" spans="1:25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</row>
    <row r="129" spans="1:25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</row>
    <row r="130" spans="1:25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</row>
    <row r="131" spans="1:25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</row>
    <row r="132" spans="1:25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</row>
    <row r="133" spans="1:25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</row>
    <row r="134" spans="1:25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</row>
    <row r="135" spans="1:2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</row>
    <row r="136" spans="1:25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</row>
    <row r="137" spans="1:25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</row>
    <row r="138" spans="1:25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</row>
    <row r="139" spans="1:25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</row>
    <row r="140" spans="1:25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</row>
    <row r="141" spans="1:25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</row>
    <row r="142" spans="1:25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</row>
    <row r="143" spans="1:25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</row>
    <row r="144" spans="1:25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</row>
    <row r="145" spans="1:2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</row>
    <row r="146" spans="1:25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</row>
    <row r="147" spans="1:25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</row>
    <row r="148" spans="1:25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</row>
    <row r="149" spans="1:25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</row>
    <row r="150" spans="1:25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</row>
    <row r="151" spans="1:25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</row>
    <row r="152" spans="1:25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</row>
    <row r="153" spans="1:25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</row>
    <row r="154" spans="1:25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</row>
    <row r="155" spans="1:2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</row>
    <row r="156" spans="1:25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</row>
    <row r="157" spans="1:25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</row>
    <row r="158" spans="1:25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</row>
    <row r="159" spans="1:25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</row>
    <row r="160" spans="1:25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</row>
  </sheetData>
  <mergeCells count="1">
    <mergeCell ref="B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0"/>
  <sheetViews>
    <sheetView topLeftCell="A7" zoomScaleNormal="100" zoomScaleSheetLayoutView="100" workbookViewId="0">
      <selection activeCell="A22" sqref="A22"/>
    </sheetView>
  </sheetViews>
  <sheetFormatPr defaultRowHeight="15"/>
  <cols>
    <col min="1" max="1" width="3" customWidth="1"/>
    <col min="2" max="2" width="34" customWidth="1"/>
    <col min="3" max="3" width="13" customWidth="1"/>
    <col min="4" max="4" width="18.7109375" customWidth="1"/>
    <col min="5" max="15" width="12" customWidth="1"/>
    <col min="16" max="16" width="2" customWidth="1"/>
    <col min="17" max="25" width="18" customWidth="1"/>
  </cols>
  <sheetData>
    <row r="1" spans="1:25">
      <c r="A1" s="81"/>
      <c r="B1" s="108" t="s">
        <v>361</v>
      </c>
      <c r="C1" s="108"/>
      <c r="D1" s="108"/>
      <c r="E1" s="108"/>
      <c r="F1" s="108"/>
      <c r="G1" s="108"/>
      <c r="H1" s="108"/>
      <c r="I1" s="108"/>
      <c r="J1" s="108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5">
      <c r="A3" s="81"/>
      <c r="B3" s="84" t="s">
        <v>362</v>
      </c>
      <c r="C3" s="84" t="s">
        <v>363</v>
      </c>
      <c r="D3" s="84" t="s">
        <v>364</v>
      </c>
      <c r="E3" s="84" t="s">
        <v>365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</row>
    <row r="4" spans="1:25">
      <c r="A4" s="81"/>
      <c r="B4" s="81" t="s">
        <v>366</v>
      </c>
      <c r="C4" s="14">
        <f>'Carbacid Model'!C197</f>
        <v>0.65</v>
      </c>
      <c r="D4" s="19">
        <f>'Carbacid Model'!C192</f>
        <v>37.652874378088555</v>
      </c>
      <c r="E4" s="81" t="s">
        <v>367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spans="1:25">
      <c r="A5" s="81"/>
      <c r="B5" s="81" t="s">
        <v>368</v>
      </c>
      <c r="C5" s="14">
        <f>'Carbacid Model'!C198</f>
        <v>0.2</v>
      </c>
      <c r="D5" s="19">
        <f>'Carbacid Model'!C194</f>
        <v>26.921627701226793</v>
      </c>
      <c r="E5" s="81" t="s">
        <v>369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</row>
    <row r="6" spans="1:25">
      <c r="A6" s="81"/>
      <c r="B6" s="81" t="s">
        <v>208</v>
      </c>
      <c r="C6" s="14">
        <f>'Carbacid Model'!C199</f>
        <v>0.15</v>
      </c>
      <c r="D6" s="19">
        <f>'Carbacid Model'!C196</f>
        <v>19.978764650229373</v>
      </c>
      <c r="E6" s="81" t="s">
        <v>370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</row>
    <row r="8" spans="1:25">
      <c r="A8" s="81"/>
      <c r="B8" s="81" t="s">
        <v>228</v>
      </c>
      <c r="C8" s="20">
        <f>'Carbacid Model'!C200</f>
        <v>32.855508583537329</v>
      </c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</row>
    <row r="9" spans="1:25">
      <c r="A9" s="81"/>
      <c r="B9" s="81" t="s">
        <v>229</v>
      </c>
      <c r="C9" s="20">
        <f>'Carbacid Model'!C201</f>
        <v>33.1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>
      <c r="A10" s="81"/>
      <c r="B10" s="81" t="s">
        <v>230</v>
      </c>
      <c r="C10" s="21">
        <f>'Carbacid Model'!C202</f>
        <v>-7.3864476272710311E-3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</row>
    <row r="11" spans="1:25">
      <c r="A11" s="81"/>
      <c r="B11" s="81" t="s">
        <v>104</v>
      </c>
      <c r="C11" s="18" t="str">
        <f>'Carbacid Model'!C203</f>
        <v>HOLD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>
      <c r="A12" s="81"/>
      <c r="B12" s="81" t="s">
        <v>371</v>
      </c>
      <c r="C12" s="15">
        <f>'Carbacid Model'!C200*Assumptions_Log!D6</f>
        <v>8373.2920735316548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>
      <c r="A13" s="81"/>
      <c r="B13" s="81" t="s">
        <v>11</v>
      </c>
      <c r="C13" s="16">
        <v>46205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>
      <c r="A14" s="81"/>
      <c r="B14" s="81" t="s">
        <v>372</v>
      </c>
      <c r="C14" s="81" t="s">
        <v>373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 ht="44.25" customHeight="1">
      <c r="A17" s="81"/>
      <c r="B17" s="74" t="s">
        <v>374</v>
      </c>
      <c r="C17" s="100" t="s">
        <v>375</v>
      </c>
      <c r="D17" s="100"/>
      <c r="E17" s="100"/>
      <c r="F17" s="100"/>
      <c r="G17" s="100"/>
      <c r="H17" s="100"/>
      <c r="I17" s="100"/>
      <c r="J17" s="100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 ht="48.75" customHeight="1">
      <c r="A18" s="81"/>
      <c r="B18" s="74" t="s">
        <v>376</v>
      </c>
      <c r="C18" s="100" t="s">
        <v>377</v>
      </c>
      <c r="D18" s="100"/>
      <c r="E18" s="100"/>
      <c r="F18" s="100"/>
      <c r="G18" s="100"/>
      <c r="H18" s="100"/>
      <c r="I18" s="100"/>
      <c r="J18" s="100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 ht="56.25" customHeight="1">
      <c r="A19" s="81"/>
      <c r="B19" s="74" t="s">
        <v>378</v>
      </c>
      <c r="C19" s="100" t="s">
        <v>379</v>
      </c>
      <c r="D19" s="100"/>
      <c r="E19" s="100"/>
      <c r="F19" s="100"/>
      <c r="G19" s="100"/>
      <c r="H19" s="100"/>
      <c r="I19" s="100"/>
      <c r="J19" s="100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 ht="49.5" customHeight="1">
      <c r="A20" s="81"/>
      <c r="B20" s="74" t="s">
        <v>380</v>
      </c>
      <c r="C20" s="100" t="s">
        <v>381</v>
      </c>
      <c r="D20" s="100"/>
      <c r="E20" s="100"/>
      <c r="F20" s="100"/>
      <c r="G20" s="100"/>
      <c r="H20" s="100"/>
      <c r="I20" s="100"/>
      <c r="J20" s="100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>
      <c r="A21" s="81"/>
      <c r="B21" s="74" t="s">
        <v>382</v>
      </c>
      <c r="C21" s="100" t="s">
        <v>383</v>
      </c>
      <c r="D21" s="100"/>
      <c r="E21" s="100"/>
      <c r="F21" s="100"/>
      <c r="G21" s="100"/>
      <c r="H21" s="100"/>
      <c r="I21" s="100"/>
      <c r="J21" s="100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</row>
  </sheetData>
  <mergeCells count="6">
    <mergeCell ref="C21:J21"/>
    <mergeCell ref="B1:J1"/>
    <mergeCell ref="C17:J17"/>
    <mergeCell ref="C18:J18"/>
    <mergeCell ref="C19:J19"/>
    <mergeCell ref="C20:J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0"/>
  <sheetViews>
    <sheetView zoomScaleNormal="100" zoomScaleSheetLayoutView="100" workbookViewId="0"/>
  </sheetViews>
  <sheetFormatPr defaultRowHeight="15"/>
  <cols>
    <col min="1" max="1" width="3" customWidth="1"/>
    <col min="2" max="2" width="34" customWidth="1"/>
    <col min="3" max="3" width="13" customWidth="1"/>
    <col min="4" max="15" width="12" customWidth="1"/>
    <col min="16" max="16" width="2" customWidth="1"/>
    <col min="17" max="25" width="18" customWidth="1"/>
  </cols>
  <sheetData>
    <row r="1" spans="1:25">
      <c r="A1" s="81"/>
      <c r="B1" s="108" t="s">
        <v>384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25">
      <c r="A3" s="81"/>
      <c r="B3" s="110" t="s">
        <v>385</v>
      </c>
      <c r="C3" s="110"/>
      <c r="D3" s="110"/>
      <c r="E3" s="110"/>
      <c r="F3" s="110"/>
      <c r="G3" s="110"/>
      <c r="H3" s="110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</row>
    <row r="4" spans="1:25">
      <c r="A4" s="81"/>
      <c r="B4" s="77" t="s">
        <v>386</v>
      </c>
      <c r="C4" s="77">
        <v>0.13</v>
      </c>
      <c r="D4" s="77">
        <v>0.14000000000000001</v>
      </c>
      <c r="E4" s="77">
        <v>0.15</v>
      </c>
      <c r="F4" s="77">
        <v>0.16</v>
      </c>
      <c r="G4" s="77">
        <v>0.17</v>
      </c>
      <c r="H4" s="77">
        <v>0.18</v>
      </c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</row>
    <row r="5" spans="1:25">
      <c r="A5" s="81"/>
      <c r="B5" s="14">
        <v>0.03</v>
      </c>
      <c r="C5" s="19">
        <f>((('Carbacid Model'!$K$156/(1+C$4))+('Carbacid Model'!$L$156/(1+C$4)^2)+('Carbacid Model'!$M$156/(1+C$4)^3)+('Carbacid Model'!$N$156/(1+C$4)^4)+('Carbacid Model'!$O$156/(1+C$4)^5)+(('Carbacid Model'!$O$156*(1+$B5)/(C$4-$B5))/(1+C$4)^5)+'Carbacid Model'!$C$188-'Carbacid Model'!$C$189)/'Carbacid Model'!$C$191)</f>
        <v>38.520820228964759</v>
      </c>
      <c r="D5" s="19">
        <f>((('Carbacid Model'!$K$156/(1+D$4))+('Carbacid Model'!$L$156/(1+D$4)^2)+('Carbacid Model'!$M$156/(1+D$4)^3)+('Carbacid Model'!$N$156/(1+D$4)^4)+('Carbacid Model'!$O$156/(1+D$4)^5)+(('Carbacid Model'!$O$156*(1+$B5)/(D$4-$B5))/(1+D$4)^5)+'Carbacid Model'!$C$188-'Carbacid Model'!$C$189)/'Carbacid Model'!$C$191)</f>
        <v>35.925420576935096</v>
      </c>
      <c r="E5" s="19">
        <f>((('Carbacid Model'!$K$156/(1+E$4))+('Carbacid Model'!$L$156/(1+E$4)^2)+('Carbacid Model'!$M$156/(1+E$4)^3)+('Carbacid Model'!$N$156/(1+E$4)^4)+('Carbacid Model'!$O$156/(1+E$4)^5)+(('Carbacid Model'!$O$156*(1+$B5)/(E$4-$B5))/(1+E$4)^5)+'Carbacid Model'!$C$188-'Carbacid Model'!$C$189)/'Carbacid Model'!$C$191)</f>
        <v>33.764853772142388</v>
      </c>
      <c r="F5" s="19">
        <f>((('Carbacid Model'!$K$156/(1+F$4))+('Carbacid Model'!$L$156/(1+F$4)^2)+('Carbacid Model'!$M$156/(1+F$4)^3)+('Carbacid Model'!$N$156/(1+F$4)^4)+('Carbacid Model'!$O$156/(1+F$4)^5)+(('Carbacid Model'!$O$156*(1+$B5)/(F$4-$B5))/(1+F$4)^5)+'Carbacid Model'!$C$188-'Carbacid Model'!$C$189)/'Carbacid Model'!$C$191)</f>
        <v>31.938698487469953</v>
      </c>
      <c r="G5" s="19">
        <f>((('Carbacid Model'!$K$156/(1+G$4))+('Carbacid Model'!$L$156/(1+G$4)^2)+('Carbacid Model'!$M$156/(1+G$4)^3)+('Carbacid Model'!$N$156/(1+G$4)^4)+('Carbacid Model'!$O$156/(1+G$4)^5)+(('Carbacid Model'!$O$156*(1+$B5)/(G$4-$B5))/(1+G$4)^5)+'Carbacid Model'!$C$188-'Carbacid Model'!$C$189)/'Carbacid Model'!$C$191)</f>
        <v>30.375228470723112</v>
      </c>
      <c r="H5" s="19">
        <f>((('Carbacid Model'!$K$156/(1+H$4))+('Carbacid Model'!$L$156/(1+H$4)^2)+('Carbacid Model'!$M$156/(1+H$4)^3)+('Carbacid Model'!$N$156/(1+H$4)^4)+('Carbacid Model'!$O$156/(1+H$4)^5)+(('Carbacid Model'!$O$156*(1+$B5)/(H$4-$B5))/(1+H$4)^5)+'Carbacid Model'!$C$188-'Carbacid Model'!$C$189)/'Carbacid Model'!$C$191)</f>
        <v>29.021847346772752</v>
      </c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</row>
    <row r="6" spans="1:25">
      <c r="A6" s="81"/>
      <c r="B6" s="14">
        <v>0.04</v>
      </c>
      <c r="C6" s="19">
        <f>((('Carbacid Model'!$K$156/(1+C$4))+('Carbacid Model'!$L$156/(1+C$4)^2)+('Carbacid Model'!$M$156/(1+C$4)^3)+('Carbacid Model'!$N$156/(1+C$4)^4)+('Carbacid Model'!$O$156/(1+C$4)^5)+(('Carbacid Model'!$O$156*(1+$B6)/(C$4-$B6))/(1+C$4)^5)+'Carbacid Model'!$C$188-'Carbacid Model'!$C$189)/'Carbacid Model'!$C$191)</f>
        <v>40.723967205618933</v>
      </c>
      <c r="D6" s="19">
        <f>((('Carbacid Model'!$K$156/(1+D$4))+('Carbacid Model'!$L$156/(1+D$4)^2)+('Carbacid Model'!$M$156/(1+D$4)^3)+('Carbacid Model'!$N$156/(1+D$4)^4)+('Carbacid Model'!$O$156/(1+D$4)^5)+(('Carbacid Model'!$O$156*(1+$B6)/(D$4-$B6))/(1+D$4)^5)+'Carbacid Model'!$C$188-'Carbacid Model'!$C$189)/'Carbacid Model'!$C$191)</f>
        <v>37.665574495042968</v>
      </c>
      <c r="E6" s="19">
        <f>((('Carbacid Model'!$K$156/(1+E$4))+('Carbacid Model'!$L$156/(1+E$4)^2)+('Carbacid Model'!$M$156/(1+E$4)^3)+('Carbacid Model'!$N$156/(1+E$4)^4)+('Carbacid Model'!$O$156/(1+E$4)^5)+(('Carbacid Model'!$O$156*(1+$B6)/(E$4-$B6))/(1+E$4)^5)+'Carbacid Model'!$C$188-'Carbacid Model'!$C$189)/'Carbacid Model'!$C$191)</f>
        <v>35.165196890771469</v>
      </c>
      <c r="F6" s="19">
        <f>((('Carbacid Model'!$K$156/(1+F$4))+('Carbacid Model'!$L$156/(1+F$4)^2)+('Carbacid Model'!$M$156/(1+F$4)^3)+('Carbacid Model'!$N$156/(1+F$4)^4)+('Carbacid Model'!$O$156/(1+F$4)^5)+(('Carbacid Model'!$O$156*(1+$B6)/(F$4-$B6))/(1+F$4)^5)+'Carbacid Model'!$C$188-'Carbacid Model'!$C$189)/'Carbacid Model'!$C$191)</f>
        <v>33.083270702298165</v>
      </c>
      <c r="G6" s="19">
        <f>((('Carbacid Model'!$K$156/(1+G$4))+('Carbacid Model'!$L$156/(1+G$4)^2)+('Carbacid Model'!$M$156/(1+G$4)^3)+('Carbacid Model'!$N$156/(1+G$4)^4)+('Carbacid Model'!$O$156/(1+G$4)^5)+(('Carbacid Model'!$O$156*(1+$B6)/(G$4-$B6))/(1+G$4)^5)+'Carbacid Model'!$C$188-'Carbacid Model'!$C$189)/'Carbacid Model'!$C$191)</f>
        <v>31.323177353880887</v>
      </c>
      <c r="H6" s="19">
        <f>((('Carbacid Model'!$K$156/(1+H$4))+('Carbacid Model'!$L$156/(1+H$4)^2)+('Carbacid Model'!$M$156/(1+H$4)^3)+('Carbacid Model'!$N$156/(1+H$4)^4)+('Carbacid Model'!$O$156/(1+H$4)^5)+(('Carbacid Model'!$O$156*(1+$B6)/(H$4-$B6))/(1+H$4)^5)+'Carbacid Model'!$C$188-'Carbacid Model'!$C$189)/'Carbacid Model'!$C$191)</f>
        <v>29.815905721037058</v>
      </c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</row>
    <row r="7" spans="1:25">
      <c r="A7" s="81"/>
      <c r="B7" s="14">
        <v>0.05</v>
      </c>
      <c r="C7" s="19">
        <f>((('Carbacid Model'!$K$156/(1+C$4))+('Carbacid Model'!$L$156/(1+C$4)^2)+('Carbacid Model'!$M$156/(1+C$4)^3)+('Carbacid Model'!$N$156/(1+C$4)^4)+('Carbacid Model'!$O$156/(1+C$4)^5)+(('Carbacid Model'!$O$156*(1+$B7)/(C$4-$B7))/(1+C$4)^5)+'Carbacid Model'!$C$188-'Carbacid Model'!$C$189)/'Carbacid Model'!$C$191)</f>
        <v>43.477900926436654</v>
      </c>
      <c r="D7" s="19">
        <f>((('Carbacid Model'!$K$156/(1+D$4))+('Carbacid Model'!$L$156/(1+D$4)^2)+('Carbacid Model'!$M$156/(1+D$4)^3)+('Carbacid Model'!$N$156/(1+D$4)^4)+('Carbacid Model'!$O$156/(1+D$4)^5)+(('Carbacid Model'!$O$156*(1+$B7)/(D$4-$B7))/(1+D$4)^5)+'Carbacid Model'!$C$188-'Carbacid Model'!$C$189)/'Carbacid Model'!$C$191)</f>
        <v>39.792429283841493</v>
      </c>
      <c r="E7" s="19">
        <f>((('Carbacid Model'!$K$156/(1+E$4))+('Carbacid Model'!$L$156/(1+E$4)^2)+('Carbacid Model'!$M$156/(1+E$4)^3)+('Carbacid Model'!$N$156/(1+E$4)^4)+('Carbacid Model'!$O$156/(1+E$4)^5)+(('Carbacid Model'!$O$156*(1+$B7)/(E$4-$B7))/(1+E$4)^5)+'Carbacid Model'!$C$188-'Carbacid Model'!$C$189)/'Carbacid Model'!$C$191)</f>
        <v>36.845608633126375</v>
      </c>
      <c r="F7" s="19">
        <f>((('Carbacid Model'!$K$156/(1+F$4))+('Carbacid Model'!$L$156/(1+F$4)^2)+('Carbacid Model'!$M$156/(1+F$4)^3)+('Carbacid Model'!$N$156/(1+F$4)^4)+('Carbacid Model'!$O$156/(1+F$4)^5)+(('Carbacid Model'!$O$156*(1+$B7)/(F$4-$B7))/(1+F$4)^5)+'Carbacid Model'!$C$188-'Carbacid Model'!$C$189)/'Carbacid Model'!$C$191)</f>
        <v>34.435946956186051</v>
      </c>
      <c r="G7" s="19">
        <f>((('Carbacid Model'!$K$156/(1+G$4))+('Carbacid Model'!$L$156/(1+G$4)^2)+('Carbacid Model'!$M$156/(1+G$4)^3)+('Carbacid Model'!$N$156/(1+G$4)^4)+('Carbacid Model'!$O$156/(1+G$4)^5)+(('Carbacid Model'!$O$156*(1+$B7)/(G$4-$B7))/(1+G$4)^5)+'Carbacid Model'!$C$188-'Carbacid Model'!$C$189)/'Carbacid Model'!$C$191)</f>
        <v>32.429117717564964</v>
      </c>
      <c r="H7" s="19">
        <f>((('Carbacid Model'!$K$156/(1+H$4))+('Carbacid Model'!$L$156/(1+H$4)^2)+('Carbacid Model'!$M$156/(1+H$4)^3)+('Carbacid Model'!$N$156/(1+H$4)^4)+('Carbacid Model'!$O$156/(1+H$4)^5)+(('Carbacid Model'!$O$156*(1+$B7)/(H$4-$B7))/(1+H$4)^5)+'Carbacid Model'!$C$188-'Carbacid Model'!$C$189)/'Carbacid Model'!$C$191)</f>
        <v>30.732126922111263</v>
      </c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</row>
    <row r="8" spans="1:25">
      <c r="A8" s="81"/>
      <c r="B8" s="14">
        <v>0.06</v>
      </c>
      <c r="C8" s="19">
        <f>((('Carbacid Model'!$K$156/(1+C$4))+('Carbacid Model'!$L$156/(1+C$4)^2)+('Carbacid Model'!$M$156/(1+C$4)^3)+('Carbacid Model'!$N$156/(1+C$4)^4)+('Carbacid Model'!$O$156/(1+C$4)^5)+(('Carbacid Model'!$O$156*(1+$B8)/(C$4-$B8))/(1+C$4)^5)+'Carbacid Model'!$C$188-'Carbacid Model'!$C$189)/'Carbacid Model'!$C$191)</f>
        <v>47.01867285320229</v>
      </c>
      <c r="D8" s="19">
        <f>((('Carbacid Model'!$K$156/(1+D$4))+('Carbacid Model'!$L$156/(1+D$4)^2)+('Carbacid Model'!$M$156/(1+D$4)^3)+('Carbacid Model'!$N$156/(1+D$4)^4)+('Carbacid Model'!$O$156/(1+D$4)^5)+(('Carbacid Model'!$O$156*(1+$B8)/(D$4-$B8))/(1+D$4)^5)+'Carbacid Model'!$C$188-'Carbacid Model'!$C$189)/'Carbacid Model'!$C$191)</f>
        <v>42.450997769839645</v>
      </c>
      <c r="E8" s="19">
        <f>((('Carbacid Model'!$K$156/(1+E$4))+('Carbacid Model'!$L$156/(1+E$4)^2)+('Carbacid Model'!$M$156/(1+E$4)^3)+('Carbacid Model'!$N$156/(1+E$4)^4)+('Carbacid Model'!$O$156/(1+E$4)^5)+(('Carbacid Model'!$O$156*(1+$B8)/(E$4-$B8))/(1+E$4)^5)+'Carbacid Model'!$C$188-'Carbacid Model'!$C$189)/'Carbacid Model'!$C$191)</f>
        <v>38.899445207115704</v>
      </c>
      <c r="F8" s="19">
        <f>((('Carbacid Model'!$K$156/(1+F$4))+('Carbacid Model'!$L$156/(1+F$4)^2)+('Carbacid Model'!$M$156/(1+F$4)^3)+('Carbacid Model'!$N$156/(1+F$4)^4)+('Carbacid Model'!$O$156/(1+F$4)^5)+(('Carbacid Model'!$O$156*(1+$B8)/(F$4-$B8))/(1+F$4)^5)+'Carbacid Model'!$C$188-'Carbacid Model'!$C$189)/'Carbacid Model'!$C$191)</f>
        <v>36.059158460851513</v>
      </c>
      <c r="G8" s="19">
        <f>((('Carbacid Model'!$K$156/(1+G$4))+('Carbacid Model'!$L$156/(1+G$4)^2)+('Carbacid Model'!$M$156/(1+G$4)^3)+('Carbacid Model'!$N$156/(1+G$4)^4)+('Carbacid Model'!$O$156/(1+G$4)^5)+(('Carbacid Model'!$O$156*(1+$B8)/(G$4-$B8))/(1+G$4)^5)+'Carbacid Model'!$C$188-'Carbacid Model'!$C$189)/'Carbacid Model'!$C$191)</f>
        <v>33.736138147373417</v>
      </c>
      <c r="H8" s="19">
        <f>((('Carbacid Model'!$K$156/(1+H$4))+('Carbacid Model'!$L$156/(1+H$4)^2)+('Carbacid Model'!$M$156/(1+H$4)^3)+('Carbacid Model'!$N$156/(1+H$4)^4)+('Carbacid Model'!$O$156/(1+H$4)^5)+(('Carbacid Model'!$O$156*(1+$B8)/(H$4-$B8))/(1+H$4)^5)+'Carbacid Model'!$C$188-'Carbacid Model'!$C$189)/'Carbacid Model'!$C$191)</f>
        <v>31.80105165669783</v>
      </c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</row>
    <row r="9" spans="1:25">
      <c r="A9" s="81"/>
      <c r="B9" s="14">
        <v>7.0000000000000007E-2</v>
      </c>
      <c r="C9" s="19">
        <f>((('Carbacid Model'!$K$156/(1+C$4))+('Carbacid Model'!$L$156/(1+C$4)^2)+('Carbacid Model'!$M$156/(1+C$4)^3)+('Carbacid Model'!$N$156/(1+C$4)^4)+('Carbacid Model'!$O$156/(1+C$4)^5)+(('Carbacid Model'!$O$156*(1+$B9)/(C$4-$B9))/(1+C$4)^5)+'Carbacid Model'!$C$188-'Carbacid Model'!$C$189)/'Carbacid Model'!$C$191)</f>
        <v>51.739702088889821</v>
      </c>
      <c r="D9" s="19">
        <f>((('Carbacid Model'!$K$156/(1+D$4))+('Carbacid Model'!$L$156/(1+D$4)^2)+('Carbacid Model'!$M$156/(1+D$4)^3)+('Carbacid Model'!$N$156/(1+D$4)^4)+('Carbacid Model'!$O$156/(1+D$4)^5)+(('Carbacid Model'!$O$156*(1+$B9)/(D$4-$B9))/(1+D$4)^5)+'Carbacid Model'!$C$188-'Carbacid Model'!$C$189)/'Carbacid Model'!$C$191)</f>
        <v>45.869157251837272</v>
      </c>
      <c r="E9" s="19">
        <f>((('Carbacid Model'!$K$156/(1+E$4))+('Carbacid Model'!$L$156/(1+E$4)^2)+('Carbacid Model'!$M$156/(1+E$4)^3)+('Carbacid Model'!$N$156/(1+E$4)^4)+('Carbacid Model'!$O$156/(1+E$4)^5)+(('Carbacid Model'!$O$156*(1+$B9)/(E$4-$B9))/(1+E$4)^5)+'Carbacid Model'!$C$188-'Carbacid Model'!$C$189)/'Carbacid Model'!$C$191)</f>
        <v>41.466740924602362</v>
      </c>
      <c r="F9" s="19">
        <f>((('Carbacid Model'!$K$156/(1+F$4))+('Carbacid Model'!$L$156/(1+F$4)^2)+('Carbacid Model'!$M$156/(1+F$4)^3)+('Carbacid Model'!$N$156/(1+F$4)^4)+('Carbacid Model'!$O$156/(1+F$4)^5)+(('Carbacid Model'!$O$156*(1+$B9)/(F$4-$B9))/(1+F$4)^5)+'Carbacid Model'!$C$188-'Carbacid Model'!$C$189)/'Carbacid Model'!$C$191)</f>
        <v>38.043083633220427</v>
      </c>
      <c r="G9" s="19">
        <f>((('Carbacid Model'!$K$156/(1+G$4))+('Carbacid Model'!$L$156/(1+G$4)^2)+('Carbacid Model'!$M$156/(1+G$4)^3)+('Carbacid Model'!$N$156/(1+G$4)^4)+('Carbacid Model'!$O$156/(1+G$4)^5)+(('Carbacid Model'!$O$156*(1+$B9)/(G$4-$B9))/(1+G$4)^5)+'Carbacid Model'!$C$188-'Carbacid Model'!$C$189)/'Carbacid Model'!$C$191)</f>
        <v>35.304562663143564</v>
      </c>
      <c r="H9" s="19">
        <f>((('Carbacid Model'!$K$156/(1+H$4))+('Carbacid Model'!$L$156/(1+H$4)^2)+('Carbacid Model'!$M$156/(1+H$4)^3)+('Carbacid Model'!$N$156/(1+H$4)^4)+('Carbacid Model'!$O$156/(1+H$4)^5)+(('Carbacid Model'!$O$156*(1+$B9)/(H$4-$B9))/(1+H$4)^5)+'Carbacid Model'!$C$188-'Carbacid Model'!$C$189)/'Carbacid Model'!$C$191)</f>
        <v>33.06432634302741</v>
      </c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</row>
    <row r="10" spans="1:25">
      <c r="A10" s="81"/>
      <c r="B10" s="14"/>
      <c r="C10" s="14"/>
      <c r="D10" s="14"/>
      <c r="E10" s="14"/>
      <c r="F10" s="14"/>
      <c r="G10" s="14"/>
      <c r="H10" s="14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</row>
    <row r="11" spans="1:25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</row>
    <row r="12" spans="1:25">
      <c r="A12" s="81"/>
      <c r="B12" s="110" t="s">
        <v>387</v>
      </c>
      <c r="C12" s="110"/>
      <c r="D12" s="110"/>
      <c r="E12" s="110"/>
      <c r="F12" s="110"/>
      <c r="G12" s="110"/>
      <c r="H12" s="110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</row>
    <row r="13" spans="1:25">
      <c r="A13" s="81"/>
      <c r="B13" s="84" t="s">
        <v>388</v>
      </c>
      <c r="C13" s="78">
        <v>5</v>
      </c>
      <c r="D13" s="78">
        <v>5.5</v>
      </c>
      <c r="E13" s="78">
        <v>6</v>
      </c>
      <c r="F13" s="78">
        <v>6.5</v>
      </c>
      <c r="G13" s="78">
        <v>7</v>
      </c>
      <c r="H13" s="78">
        <v>7.5</v>
      </c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</row>
    <row r="14" spans="1:25">
      <c r="A14" s="81"/>
      <c r="B14" s="17">
        <v>8</v>
      </c>
      <c r="C14" s="19">
        <f>'Carbacid Model'!$C$192*'Carbacid Model'!$C$197+((('Carbacid Model'!$O$58*C$13*'Carbacid Model'!$O$157)+'Carbacid Model'!$C$188-'Carbacid Model'!$C$189)/'Carbacid Model'!$C$191)*'Carbacid Model'!$C$198+(('Carbacid Model'!$O$66*$B14*'Carbacid Model'!$O$157)/'Carbacid Model'!$C$191)*'Carbacid Model'!$C$199</f>
        <v>31.728341838565175</v>
      </c>
      <c r="D14" s="19">
        <f>'Carbacid Model'!$C$192*'Carbacid Model'!$C$197+((('Carbacid Model'!$O$58*D$13*'Carbacid Model'!$O$157)+'Carbacid Model'!$C$188-'Carbacid Model'!$C$189)/'Carbacid Model'!$C$191)*'Carbacid Model'!$C$198+(('Carbacid Model'!$O$66*$B14*'Carbacid Model'!$O$157)/'Carbacid Model'!$C$191)*'Carbacid Model'!$C$199</f>
        <v>31.992243741297809</v>
      </c>
      <c r="E14" s="19">
        <f>'Carbacid Model'!$C$192*'Carbacid Model'!$C$197+((('Carbacid Model'!$O$58*E$13*'Carbacid Model'!$O$157)+'Carbacid Model'!$C$188-'Carbacid Model'!$C$189)/'Carbacid Model'!$C$191)*'Carbacid Model'!$C$198+(('Carbacid Model'!$O$66*$B14*'Carbacid Model'!$O$157)/'Carbacid Model'!$C$191)*'Carbacid Model'!$C$199</f>
        <v>32.256145644030447</v>
      </c>
      <c r="F14" s="19">
        <f>'Carbacid Model'!$C$192*'Carbacid Model'!$C$197+((('Carbacid Model'!$O$58*F$13*'Carbacid Model'!$O$157)+'Carbacid Model'!$C$188-'Carbacid Model'!$C$189)/'Carbacid Model'!$C$191)*'Carbacid Model'!$C$198+(('Carbacid Model'!$O$66*$B14*'Carbacid Model'!$O$157)/'Carbacid Model'!$C$191)*'Carbacid Model'!$C$199</f>
        <v>32.520047546763081</v>
      </c>
      <c r="G14" s="19">
        <f>'Carbacid Model'!$C$192*'Carbacid Model'!$C$197+((('Carbacid Model'!$O$58*G$13*'Carbacid Model'!$O$157)+'Carbacid Model'!$C$188-'Carbacid Model'!$C$189)/'Carbacid Model'!$C$191)*'Carbacid Model'!$C$198+(('Carbacid Model'!$O$66*$B14*'Carbacid Model'!$O$157)/'Carbacid Model'!$C$191)*'Carbacid Model'!$C$199</f>
        <v>32.783949449495715</v>
      </c>
      <c r="H14" s="19">
        <f>'Carbacid Model'!$C$192*'Carbacid Model'!$C$197+((('Carbacid Model'!$O$58*H$13*'Carbacid Model'!$O$157)+'Carbacid Model'!$C$188-'Carbacid Model'!$C$189)/'Carbacid Model'!$C$191)*'Carbacid Model'!$C$198+(('Carbacid Model'!$O$66*$B14*'Carbacid Model'!$O$157)/'Carbacid Model'!$C$191)*'Carbacid Model'!$C$199</f>
        <v>33.047851352228349</v>
      </c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</row>
    <row r="15" spans="1:25">
      <c r="A15" s="81"/>
      <c r="B15" s="17">
        <v>9</v>
      </c>
      <c r="C15" s="19">
        <f>'Carbacid Model'!$C$192*'Carbacid Model'!$C$197+((('Carbacid Model'!$O$58*C$13*'Carbacid Model'!$O$157)+'Carbacid Model'!$C$188-'Carbacid Model'!$C$189)/'Carbacid Model'!$C$191)*'Carbacid Model'!$C$198+(('Carbacid Model'!$O$66*$B15*'Carbacid Model'!$O$157)/'Carbacid Model'!$C$191)*'Carbacid Model'!$C$199</f>
        <v>32.028023308318616</v>
      </c>
      <c r="D15" s="19">
        <f>'Carbacid Model'!$C$192*'Carbacid Model'!$C$197+((('Carbacid Model'!$O$58*D$13*'Carbacid Model'!$O$157)+'Carbacid Model'!$C$188-'Carbacid Model'!$C$189)/'Carbacid Model'!$C$191)*'Carbacid Model'!$C$198+(('Carbacid Model'!$O$66*$B15*'Carbacid Model'!$O$157)/'Carbacid Model'!$C$191)*'Carbacid Model'!$C$199</f>
        <v>32.29192521105125</v>
      </c>
      <c r="E15" s="19">
        <f>'Carbacid Model'!$C$192*'Carbacid Model'!$C$197+((('Carbacid Model'!$O$58*E$13*'Carbacid Model'!$O$157)+'Carbacid Model'!$C$188-'Carbacid Model'!$C$189)/'Carbacid Model'!$C$191)*'Carbacid Model'!$C$198+(('Carbacid Model'!$O$66*$B15*'Carbacid Model'!$O$157)/'Carbacid Model'!$C$191)*'Carbacid Model'!$C$199</f>
        <v>32.555827113783884</v>
      </c>
      <c r="F15" s="19">
        <f>'Carbacid Model'!$C$192*'Carbacid Model'!$C$197+((('Carbacid Model'!$O$58*F$13*'Carbacid Model'!$O$157)+'Carbacid Model'!$C$188-'Carbacid Model'!$C$189)/'Carbacid Model'!$C$191)*'Carbacid Model'!$C$198+(('Carbacid Model'!$O$66*$B15*'Carbacid Model'!$O$157)/'Carbacid Model'!$C$191)*'Carbacid Model'!$C$199</f>
        <v>32.819729016516519</v>
      </c>
      <c r="G15" s="19">
        <f>'Carbacid Model'!$C$192*'Carbacid Model'!$C$197+((('Carbacid Model'!$O$58*G$13*'Carbacid Model'!$O$157)+'Carbacid Model'!$C$188-'Carbacid Model'!$C$189)/'Carbacid Model'!$C$191)*'Carbacid Model'!$C$198+(('Carbacid Model'!$O$66*$B15*'Carbacid Model'!$O$157)/'Carbacid Model'!$C$191)*'Carbacid Model'!$C$199</f>
        <v>33.083630919249153</v>
      </c>
      <c r="H15" s="19">
        <f>'Carbacid Model'!$C$192*'Carbacid Model'!$C$197+((('Carbacid Model'!$O$58*H$13*'Carbacid Model'!$O$157)+'Carbacid Model'!$C$188-'Carbacid Model'!$C$189)/'Carbacid Model'!$C$191)*'Carbacid Model'!$C$198+(('Carbacid Model'!$O$66*$B15*'Carbacid Model'!$O$157)/'Carbacid Model'!$C$191)*'Carbacid Model'!$C$199</f>
        <v>33.347532821981787</v>
      </c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</row>
    <row r="16" spans="1:25">
      <c r="A16" s="81"/>
      <c r="B16" s="17">
        <v>10</v>
      </c>
      <c r="C16" s="19">
        <f>'Carbacid Model'!$C$192*'Carbacid Model'!$C$197+((('Carbacid Model'!$O$58*C$13*'Carbacid Model'!$O$157)+'Carbacid Model'!$C$188-'Carbacid Model'!$C$189)/'Carbacid Model'!$C$191)*'Carbacid Model'!$C$198+(('Carbacid Model'!$O$66*$B16*'Carbacid Model'!$O$157)/'Carbacid Model'!$C$191)*'Carbacid Model'!$C$199</f>
        <v>32.327704778072054</v>
      </c>
      <c r="D16" s="19">
        <f>'Carbacid Model'!$C$192*'Carbacid Model'!$C$197+((('Carbacid Model'!$O$58*D$13*'Carbacid Model'!$O$157)+'Carbacid Model'!$C$188-'Carbacid Model'!$C$189)/'Carbacid Model'!$C$191)*'Carbacid Model'!$C$198+(('Carbacid Model'!$O$66*$B16*'Carbacid Model'!$O$157)/'Carbacid Model'!$C$191)*'Carbacid Model'!$C$199</f>
        <v>32.591606680804688</v>
      </c>
      <c r="E16" s="19">
        <f>'Carbacid Model'!$C$192*'Carbacid Model'!$C$197+((('Carbacid Model'!$O$58*E$13*'Carbacid Model'!$O$157)+'Carbacid Model'!$C$188-'Carbacid Model'!$C$189)/'Carbacid Model'!$C$191)*'Carbacid Model'!$C$198+(('Carbacid Model'!$O$66*$B16*'Carbacid Model'!$O$157)/'Carbacid Model'!$C$191)*'Carbacid Model'!$C$199</f>
        <v>32.855508583537329</v>
      </c>
      <c r="F16" s="19">
        <f>'Carbacid Model'!$C$192*'Carbacid Model'!$C$197+((('Carbacid Model'!$O$58*F$13*'Carbacid Model'!$O$157)+'Carbacid Model'!$C$188-'Carbacid Model'!$C$189)/'Carbacid Model'!$C$191)*'Carbacid Model'!$C$198+(('Carbacid Model'!$O$66*$B16*'Carbacid Model'!$O$157)/'Carbacid Model'!$C$191)*'Carbacid Model'!$C$199</f>
        <v>33.119410486269963</v>
      </c>
      <c r="G16" s="19">
        <f>'Carbacid Model'!$C$192*'Carbacid Model'!$C$197+((('Carbacid Model'!$O$58*G$13*'Carbacid Model'!$O$157)+'Carbacid Model'!$C$188-'Carbacid Model'!$C$189)/'Carbacid Model'!$C$191)*'Carbacid Model'!$C$198+(('Carbacid Model'!$O$66*$B16*'Carbacid Model'!$O$157)/'Carbacid Model'!$C$191)*'Carbacid Model'!$C$199</f>
        <v>33.383312389002597</v>
      </c>
      <c r="H16" s="19">
        <f>'Carbacid Model'!$C$192*'Carbacid Model'!$C$197+((('Carbacid Model'!$O$58*H$13*'Carbacid Model'!$O$157)+'Carbacid Model'!$C$188-'Carbacid Model'!$C$189)/'Carbacid Model'!$C$191)*'Carbacid Model'!$C$198+(('Carbacid Model'!$O$66*$B16*'Carbacid Model'!$O$157)/'Carbacid Model'!$C$191)*'Carbacid Model'!$C$199</f>
        <v>33.647214291735231</v>
      </c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</row>
    <row r="17" spans="1:25">
      <c r="A17" s="81"/>
      <c r="B17" s="17">
        <v>11</v>
      </c>
      <c r="C17" s="19">
        <f>'Carbacid Model'!$C$192*'Carbacid Model'!$C$197+((('Carbacid Model'!$O$58*C$13*'Carbacid Model'!$O$157)+'Carbacid Model'!$C$188-'Carbacid Model'!$C$189)/'Carbacid Model'!$C$191)*'Carbacid Model'!$C$198+(('Carbacid Model'!$O$66*$B17*'Carbacid Model'!$O$157)/'Carbacid Model'!$C$191)*'Carbacid Model'!$C$199</f>
        <v>32.627386247825498</v>
      </c>
      <c r="D17" s="19">
        <f>'Carbacid Model'!$C$192*'Carbacid Model'!$C$197+((('Carbacid Model'!$O$58*D$13*'Carbacid Model'!$O$157)+'Carbacid Model'!$C$188-'Carbacid Model'!$C$189)/'Carbacid Model'!$C$191)*'Carbacid Model'!$C$198+(('Carbacid Model'!$O$66*$B17*'Carbacid Model'!$O$157)/'Carbacid Model'!$C$191)*'Carbacid Model'!$C$199</f>
        <v>32.891288150558132</v>
      </c>
      <c r="E17" s="19">
        <f>'Carbacid Model'!$C$192*'Carbacid Model'!$C$197+((('Carbacid Model'!$O$58*E$13*'Carbacid Model'!$O$157)+'Carbacid Model'!$C$188-'Carbacid Model'!$C$189)/'Carbacid Model'!$C$191)*'Carbacid Model'!$C$198+(('Carbacid Model'!$O$66*$B17*'Carbacid Model'!$O$157)/'Carbacid Model'!$C$191)*'Carbacid Model'!$C$199</f>
        <v>33.155190053290767</v>
      </c>
      <c r="F17" s="19">
        <f>'Carbacid Model'!$C$192*'Carbacid Model'!$C$197+((('Carbacid Model'!$O$58*F$13*'Carbacid Model'!$O$157)+'Carbacid Model'!$C$188-'Carbacid Model'!$C$189)/'Carbacid Model'!$C$191)*'Carbacid Model'!$C$198+(('Carbacid Model'!$O$66*$B17*'Carbacid Model'!$O$157)/'Carbacid Model'!$C$191)*'Carbacid Model'!$C$199</f>
        <v>33.419091956023401</v>
      </c>
      <c r="G17" s="19">
        <f>'Carbacid Model'!$C$192*'Carbacid Model'!$C$197+((('Carbacid Model'!$O$58*G$13*'Carbacid Model'!$O$157)+'Carbacid Model'!$C$188-'Carbacid Model'!$C$189)/'Carbacid Model'!$C$191)*'Carbacid Model'!$C$198+(('Carbacid Model'!$O$66*$B17*'Carbacid Model'!$O$157)/'Carbacid Model'!$C$191)*'Carbacid Model'!$C$199</f>
        <v>33.682993858756035</v>
      </c>
      <c r="H17" s="19">
        <f>'Carbacid Model'!$C$192*'Carbacid Model'!$C$197+((('Carbacid Model'!$O$58*H$13*'Carbacid Model'!$O$157)+'Carbacid Model'!$C$188-'Carbacid Model'!$C$189)/'Carbacid Model'!$C$191)*'Carbacid Model'!$C$198+(('Carbacid Model'!$O$66*$B17*'Carbacid Model'!$O$157)/'Carbacid Model'!$C$191)*'Carbacid Model'!$C$199</f>
        <v>33.946895761488669</v>
      </c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</row>
    <row r="18" spans="1:25">
      <c r="A18" s="81"/>
      <c r="B18" s="17">
        <v>12</v>
      </c>
      <c r="C18" s="19">
        <f>'Carbacid Model'!$C$192*'Carbacid Model'!$C$197+((('Carbacid Model'!$O$58*C$13*'Carbacid Model'!$O$157)+'Carbacid Model'!$C$188-'Carbacid Model'!$C$189)/'Carbacid Model'!$C$191)*'Carbacid Model'!$C$198+(('Carbacid Model'!$O$66*$B18*'Carbacid Model'!$O$157)/'Carbacid Model'!$C$191)*'Carbacid Model'!$C$199</f>
        <v>32.927067717578936</v>
      </c>
      <c r="D18" s="19">
        <f>'Carbacid Model'!$C$192*'Carbacid Model'!$C$197+((('Carbacid Model'!$O$58*D$13*'Carbacid Model'!$O$157)+'Carbacid Model'!$C$188-'Carbacid Model'!$C$189)/'Carbacid Model'!$C$191)*'Carbacid Model'!$C$198+(('Carbacid Model'!$O$66*$B18*'Carbacid Model'!$O$157)/'Carbacid Model'!$C$191)*'Carbacid Model'!$C$199</f>
        <v>33.19096962031157</v>
      </c>
      <c r="E18" s="19">
        <f>'Carbacid Model'!$C$192*'Carbacid Model'!$C$197+((('Carbacid Model'!$O$58*E$13*'Carbacid Model'!$O$157)+'Carbacid Model'!$C$188-'Carbacid Model'!$C$189)/'Carbacid Model'!$C$191)*'Carbacid Model'!$C$198+(('Carbacid Model'!$O$66*$B18*'Carbacid Model'!$O$157)/'Carbacid Model'!$C$191)*'Carbacid Model'!$C$199</f>
        <v>33.454871523044211</v>
      </c>
      <c r="F18" s="19">
        <f>'Carbacid Model'!$C$192*'Carbacid Model'!$C$197+((('Carbacid Model'!$O$58*F$13*'Carbacid Model'!$O$157)+'Carbacid Model'!$C$188-'Carbacid Model'!$C$189)/'Carbacid Model'!$C$191)*'Carbacid Model'!$C$198+(('Carbacid Model'!$O$66*$B18*'Carbacid Model'!$O$157)/'Carbacid Model'!$C$191)*'Carbacid Model'!$C$199</f>
        <v>33.718773425776845</v>
      </c>
      <c r="G18" s="19">
        <f>'Carbacid Model'!$C$192*'Carbacid Model'!$C$197+((('Carbacid Model'!$O$58*G$13*'Carbacid Model'!$O$157)+'Carbacid Model'!$C$188-'Carbacid Model'!$C$189)/'Carbacid Model'!$C$191)*'Carbacid Model'!$C$198+(('Carbacid Model'!$O$66*$B18*'Carbacid Model'!$O$157)/'Carbacid Model'!$C$191)*'Carbacid Model'!$C$199</f>
        <v>33.98267532850948</v>
      </c>
      <c r="H18" s="19">
        <f>'Carbacid Model'!$C$192*'Carbacid Model'!$C$197+((('Carbacid Model'!$O$58*H$13*'Carbacid Model'!$O$157)+'Carbacid Model'!$C$188-'Carbacid Model'!$C$189)/'Carbacid Model'!$C$191)*'Carbacid Model'!$C$198+(('Carbacid Model'!$O$66*$B18*'Carbacid Model'!$O$157)/'Carbacid Model'!$C$191)*'Carbacid Model'!$C$199</f>
        <v>34.246577231242114</v>
      </c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</row>
    <row r="19" spans="1:2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</row>
    <row r="20" spans="1:2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</row>
    <row r="21" spans="1:2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</row>
    <row r="22" spans="1: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</row>
    <row r="23" spans="1: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</row>
    <row r="24" spans="1: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</row>
    <row r="25" spans="1: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</row>
    <row r="26" spans="1:25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</row>
    <row r="27" spans="1:25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</row>
    <row r="28" spans="1:25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</row>
    <row r="29" spans="1: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</row>
    <row r="30" spans="1:2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</row>
    <row r="31" spans="1:25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</row>
    <row r="32" spans="1:25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</row>
    <row r="33" spans="1:25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</row>
    <row r="34" spans="1:2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</row>
    <row r="35" spans="1:2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</row>
    <row r="36" spans="1:25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</row>
    <row r="37" spans="1:25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</row>
    <row r="38" spans="1:2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</row>
    <row r="39" spans="1:25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</row>
    <row r="40" spans="1: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</row>
    <row r="41" spans="1:25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</row>
    <row r="42" spans="1:25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</row>
    <row r="43" spans="1:25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</row>
    <row r="44" spans="1:25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</row>
    <row r="45" spans="1:2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</row>
    <row r="46" spans="1:2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</row>
    <row r="47" spans="1:25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</row>
    <row r="48" spans="1:25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</row>
    <row r="49" spans="1:25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</row>
    <row r="50" spans="1:2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</row>
    <row r="51" spans="1:25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</row>
    <row r="52" spans="1:25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</row>
    <row r="53" spans="1:25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</row>
    <row r="54" spans="1: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</row>
    <row r="55" spans="1:2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</row>
    <row r="56" spans="1:25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</row>
    <row r="57" spans="1:25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</row>
    <row r="58" spans="1:2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</row>
    <row r="59" spans="1:25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</row>
    <row r="60" spans="1: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</row>
    <row r="61" spans="1:25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</row>
    <row r="62" spans="1:25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</row>
    <row r="63" spans="1:25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</row>
    <row r="64" spans="1:25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</row>
    <row r="65" spans="1: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</row>
    <row r="66" spans="1:2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</row>
    <row r="67" spans="1:25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</row>
    <row r="68" spans="1:25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</row>
    <row r="69" spans="1:25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</row>
    <row r="70" spans="1:2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</row>
    <row r="71" spans="1:25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</row>
    <row r="72" spans="1:25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</row>
    <row r="73" spans="1:25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</row>
    <row r="74" spans="1:2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</row>
    <row r="75" spans="1:2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</row>
    <row r="76" spans="1:25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</row>
    <row r="77" spans="1:25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</row>
    <row r="78" spans="1:2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</row>
    <row r="79" spans="1:25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</row>
    <row r="80" spans="1:25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</row>
  </sheetData>
  <mergeCells count="3">
    <mergeCell ref="B1:L1"/>
    <mergeCell ref="B3:H3"/>
    <mergeCell ref="B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2026-07-02T20:34:36Z</dcterms:created>
  <dcterms:modified xsi:type="dcterms:W3CDTF">2026-07-14T07:19:18Z</dcterms:modified>
  <cp:category/>
  <cp:contentStatus/>
</cp:coreProperties>
</file>