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D:\working\waccache\JN1PEPF000015A8\EXCELCNV\68e2c350-2117-4f19-84a7-85900401222d\"/>
    </mc:Choice>
  </mc:AlternateContent>
  <xr:revisionPtr revIDLastSave="0" documentId="8_{04D020F2-C58C-4227-9E2E-6F68160F949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KPLC_MODEL" sheetId="6" r:id="rId1"/>
    <sheet name="Rev Cost Analytics" sheetId="4" r:id="rId2"/>
    <sheet name="Historical Datase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0" i="6" l="1"/>
  <c r="F250" i="6" s="1"/>
  <c r="G250" i="6" s="1"/>
  <c r="H250" i="6" s="1"/>
  <c r="I250" i="6" s="1"/>
  <c r="J250" i="6" s="1"/>
  <c r="K250" i="6" s="1"/>
  <c r="L250" i="6" s="1"/>
  <c r="M250" i="6" s="1"/>
  <c r="N250" i="6" s="1"/>
  <c r="O250" i="6" s="1"/>
  <c r="P250" i="6" s="1"/>
  <c r="Q250" i="6" s="1"/>
  <c r="E249" i="6"/>
  <c r="F249" i="6" s="1"/>
  <c r="G249" i="6" s="1"/>
  <c r="H249" i="6" s="1"/>
  <c r="I249" i="6" s="1"/>
  <c r="J249" i="6" s="1"/>
  <c r="K249" i="6" s="1"/>
  <c r="L249" i="6" s="1"/>
  <c r="M249" i="6" s="1"/>
  <c r="N249" i="6" s="1"/>
  <c r="O249" i="6" s="1"/>
  <c r="P249" i="6" s="1"/>
  <c r="Q249" i="6" s="1"/>
  <c r="E231" i="6"/>
  <c r="F231" i="6" s="1"/>
  <c r="G231" i="6" s="1"/>
  <c r="H231" i="6" s="1"/>
  <c r="I231" i="6" s="1"/>
  <c r="J231" i="6" s="1"/>
  <c r="K231" i="6" s="1"/>
  <c r="L231" i="6" s="1"/>
  <c r="M231" i="6" s="1"/>
  <c r="N231" i="6" s="1"/>
  <c r="O231" i="6" s="1"/>
  <c r="P231" i="6" s="1"/>
  <c r="Q231" i="6" s="1"/>
  <c r="E230" i="6"/>
  <c r="F230" i="6" s="1"/>
  <c r="G230" i="6" s="1"/>
  <c r="H230" i="6" s="1"/>
  <c r="I230" i="6" s="1"/>
  <c r="J230" i="6" s="1"/>
  <c r="K230" i="6" s="1"/>
  <c r="L230" i="6" s="1"/>
  <c r="M230" i="6" s="1"/>
  <c r="N230" i="6" s="1"/>
  <c r="O230" i="6" s="1"/>
  <c r="P230" i="6" s="1"/>
  <c r="Q230" i="6" s="1"/>
  <c r="E201" i="6"/>
  <c r="F201" i="6" s="1"/>
  <c r="G201" i="6" s="1"/>
  <c r="H201" i="6" s="1"/>
  <c r="I201" i="6" s="1"/>
  <c r="J201" i="6" s="1"/>
  <c r="K201" i="6" s="1"/>
  <c r="L201" i="6" s="1"/>
  <c r="M201" i="6" s="1"/>
  <c r="N201" i="6" s="1"/>
  <c r="O201" i="6" s="1"/>
  <c r="P201" i="6" s="1"/>
  <c r="Q201" i="6" s="1"/>
  <c r="E200" i="6"/>
  <c r="F200" i="6" s="1"/>
  <c r="G200" i="6" s="1"/>
  <c r="H200" i="6" s="1"/>
  <c r="I200" i="6" s="1"/>
  <c r="J200" i="6" s="1"/>
  <c r="K200" i="6" s="1"/>
  <c r="L200" i="6" s="1"/>
  <c r="M200" i="6" s="1"/>
  <c r="N200" i="6" s="1"/>
  <c r="O200" i="6" s="1"/>
  <c r="P200" i="6" s="1"/>
  <c r="Q200" i="6" s="1"/>
  <c r="E179" i="6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P179" i="6" s="1"/>
  <c r="Q179" i="6" s="1"/>
  <c r="E178" i="6"/>
  <c r="F178" i="6" s="1"/>
  <c r="G178" i="6" s="1"/>
  <c r="H178" i="6" s="1"/>
  <c r="I178" i="6" s="1"/>
  <c r="J178" i="6" s="1"/>
  <c r="K178" i="6" s="1"/>
  <c r="L178" i="6" s="1"/>
  <c r="M178" i="6" s="1"/>
  <c r="N178" i="6" s="1"/>
  <c r="O178" i="6" s="1"/>
  <c r="P178" i="6" s="1"/>
  <c r="Q178" i="6" s="1"/>
  <c r="L175" i="6"/>
  <c r="L170" i="6"/>
  <c r="E151" i="6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E150" i="6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E142" i="6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E141" i="6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D37" i="6"/>
  <c r="E93" i="6"/>
  <c r="F93" i="6" s="1"/>
  <c r="G93" i="6" s="1"/>
  <c r="H93" i="6" s="1"/>
  <c r="I93" i="6" s="1"/>
  <c r="J93" i="6" s="1"/>
  <c r="K93" i="6" s="1"/>
  <c r="E59" i="6"/>
  <c r="F59" i="6"/>
  <c r="G59" i="6"/>
  <c r="H59" i="6"/>
  <c r="I59" i="6"/>
  <c r="J59" i="6"/>
  <c r="K59" i="6"/>
  <c r="L59" i="6"/>
  <c r="M59" i="6"/>
  <c r="N59" i="6" s="1"/>
  <c r="O59" i="6" s="1"/>
  <c r="P59" i="6" s="1"/>
  <c r="Q59" i="6" s="1"/>
  <c r="D88" i="6"/>
  <c r="E88" i="6"/>
  <c r="F88" i="6"/>
  <c r="G88" i="6"/>
  <c r="H88" i="6"/>
  <c r="I88" i="6"/>
  <c r="J88" i="6"/>
  <c r="K88" i="6"/>
  <c r="L88" i="6"/>
  <c r="N61" i="1"/>
  <c r="M61" i="1"/>
  <c r="L61" i="1"/>
  <c r="K61" i="1"/>
  <c r="J61" i="1"/>
  <c r="I61" i="1"/>
  <c r="H61" i="1"/>
  <c r="G61" i="1"/>
  <c r="G20" i="1"/>
  <c r="H20" i="1"/>
  <c r="I20" i="1"/>
  <c r="J20" i="1"/>
  <c r="K20" i="1"/>
  <c r="L20" i="1"/>
  <c r="M20" i="1"/>
  <c r="N20" i="1"/>
  <c r="F20" i="1"/>
  <c r="G21" i="1"/>
  <c r="H21" i="1"/>
  <c r="I21" i="1"/>
  <c r="J21" i="1"/>
  <c r="K21" i="1"/>
  <c r="L21" i="1"/>
  <c r="M21" i="1"/>
  <c r="N21" i="1"/>
  <c r="F21" i="1"/>
  <c r="N58" i="1"/>
  <c r="M58" i="1"/>
  <c r="L58" i="1"/>
  <c r="K58" i="1"/>
  <c r="J58" i="1"/>
  <c r="I58" i="1"/>
  <c r="H58" i="1"/>
  <c r="G58" i="1"/>
  <c r="N55" i="1"/>
  <c r="M55" i="1"/>
  <c r="L55" i="1"/>
  <c r="K55" i="1"/>
  <c r="J55" i="1"/>
  <c r="I55" i="1"/>
  <c r="H55" i="1"/>
  <c r="G55" i="1"/>
  <c r="G60" i="1"/>
  <c r="H60" i="1"/>
  <c r="I60" i="1"/>
  <c r="J60" i="1"/>
  <c r="K60" i="1"/>
  <c r="L60" i="1"/>
  <c r="M60" i="1"/>
  <c r="N60" i="1"/>
  <c r="F60" i="1"/>
  <c r="N53" i="1"/>
  <c r="M53" i="1"/>
  <c r="L53" i="1"/>
  <c r="K53" i="1"/>
  <c r="J53" i="1"/>
  <c r="I53" i="1"/>
  <c r="H53" i="1"/>
  <c r="G53" i="1"/>
  <c r="F53" i="1"/>
  <c r="N52" i="1"/>
  <c r="N50" i="1"/>
  <c r="M50" i="1"/>
  <c r="L50" i="1"/>
  <c r="K50" i="1"/>
  <c r="J50" i="1"/>
  <c r="I50" i="1"/>
  <c r="H50" i="1"/>
  <c r="G50" i="1"/>
  <c r="F50" i="1"/>
  <c r="N49" i="1"/>
  <c r="M49" i="1"/>
  <c r="L49" i="1"/>
  <c r="K49" i="1"/>
  <c r="J49" i="1"/>
  <c r="I49" i="1"/>
  <c r="H49" i="1"/>
  <c r="G49" i="1"/>
  <c r="N47" i="1"/>
  <c r="M47" i="1"/>
  <c r="L47" i="1"/>
  <c r="K47" i="1"/>
  <c r="J47" i="1"/>
  <c r="I47" i="1"/>
  <c r="H47" i="1"/>
  <c r="G47" i="1"/>
  <c r="F47" i="1"/>
  <c r="N46" i="1"/>
  <c r="M46" i="1"/>
  <c r="L46" i="1"/>
  <c r="K46" i="1"/>
  <c r="J46" i="1"/>
  <c r="I46" i="1"/>
  <c r="H46" i="1"/>
  <c r="G46" i="1"/>
  <c r="N44" i="1"/>
  <c r="M44" i="1"/>
  <c r="L44" i="1"/>
  <c r="K44" i="1"/>
  <c r="J44" i="1"/>
  <c r="I44" i="1"/>
  <c r="H44" i="1"/>
  <c r="G44" i="1"/>
  <c r="F44" i="1"/>
  <c r="N43" i="1"/>
  <c r="M43" i="1"/>
  <c r="L43" i="1"/>
  <c r="K43" i="1"/>
  <c r="J43" i="1"/>
  <c r="I43" i="1"/>
  <c r="H43" i="1"/>
  <c r="G43" i="1"/>
  <c r="N41" i="1"/>
  <c r="M41" i="1"/>
  <c r="L41" i="1"/>
  <c r="K41" i="1"/>
  <c r="J41" i="1"/>
  <c r="I41" i="1"/>
  <c r="H41" i="1"/>
  <c r="G41" i="1"/>
  <c r="F41" i="1"/>
  <c r="N40" i="1"/>
  <c r="M40" i="1"/>
  <c r="L40" i="1"/>
  <c r="K40" i="1"/>
  <c r="J40" i="1"/>
  <c r="I40" i="1"/>
  <c r="H40" i="1"/>
  <c r="G40" i="1"/>
  <c r="F38" i="1"/>
  <c r="N38" i="1"/>
  <c r="M38" i="1"/>
  <c r="L38" i="1"/>
  <c r="K38" i="1"/>
  <c r="J38" i="1"/>
  <c r="I38" i="1"/>
  <c r="H38" i="1"/>
  <c r="G38" i="1"/>
  <c r="N37" i="1"/>
  <c r="M37" i="1"/>
  <c r="L37" i="1"/>
  <c r="K37" i="1"/>
  <c r="J37" i="1"/>
  <c r="I37" i="1"/>
  <c r="H37" i="1"/>
  <c r="G37" i="1"/>
  <c r="N35" i="1"/>
  <c r="M35" i="1"/>
  <c r="L35" i="1"/>
  <c r="K35" i="1"/>
  <c r="J35" i="1"/>
  <c r="I35" i="1"/>
  <c r="H35" i="1"/>
  <c r="G35" i="1"/>
  <c r="F35" i="1"/>
  <c r="D34" i="6"/>
  <c r="D33" i="6"/>
  <c r="N34" i="1"/>
  <c r="M34" i="1"/>
  <c r="L34" i="1"/>
  <c r="K34" i="1"/>
  <c r="J34" i="1"/>
  <c r="I34" i="1"/>
  <c r="H34" i="1"/>
  <c r="G34" i="1"/>
  <c r="G32" i="1"/>
  <c r="H32" i="1"/>
  <c r="I32" i="1"/>
  <c r="J32" i="1"/>
  <c r="K32" i="1"/>
  <c r="L32" i="1"/>
  <c r="M32" i="1"/>
  <c r="N32" i="1"/>
  <c r="F32" i="1"/>
  <c r="N31" i="1"/>
  <c r="M31" i="1"/>
  <c r="L31" i="1"/>
  <c r="K31" i="1"/>
  <c r="J31" i="1"/>
  <c r="I31" i="1"/>
  <c r="H31" i="1"/>
  <c r="G31" i="1"/>
  <c r="F98" i="1"/>
  <c r="F116" i="1"/>
  <c r="F118" i="1"/>
  <c r="F208" i="1"/>
  <c r="F209" i="1"/>
  <c r="F214" i="1"/>
  <c r="F215" i="1"/>
  <c r="F216" i="1"/>
  <c r="F217" i="1"/>
  <c r="F222" i="1"/>
  <c r="F227" i="1"/>
  <c r="F228" i="1"/>
  <c r="F229" i="1"/>
  <c r="F230" i="1"/>
  <c r="F234" i="1"/>
  <c r="F239" i="1"/>
  <c r="F266" i="1"/>
  <c r="F269" i="1"/>
  <c r="F271" i="1"/>
  <c r="F272" i="1"/>
  <c r="F273" i="1"/>
  <c r="F274" i="1"/>
  <c r="F275" i="1"/>
  <c r="F276" i="1"/>
  <c r="F277" i="1"/>
  <c r="F278" i="1"/>
  <c r="F280" i="1"/>
  <c r="F281" i="1"/>
  <c r="F282" i="1"/>
  <c r="F283" i="1"/>
  <c r="G14" i="1"/>
  <c r="G16" i="1"/>
  <c r="G19" i="1"/>
  <c r="G23" i="1"/>
  <c r="G26" i="1"/>
  <c r="G28" i="1"/>
  <c r="G112" i="1"/>
  <c r="G9" i="1"/>
  <c r="N28" i="1"/>
  <c r="M28" i="1"/>
  <c r="L28" i="1"/>
  <c r="K28" i="1"/>
  <c r="J28" i="1"/>
  <c r="I28" i="1"/>
  <c r="H28" i="1"/>
  <c r="N26" i="1"/>
  <c r="M26" i="1"/>
  <c r="L26" i="1"/>
  <c r="K26" i="1"/>
  <c r="J26" i="1"/>
  <c r="I26" i="1"/>
  <c r="H26" i="1"/>
  <c r="N23" i="1"/>
  <c r="M23" i="1"/>
  <c r="L23" i="1"/>
  <c r="K23" i="1"/>
  <c r="J23" i="1"/>
  <c r="I23" i="1"/>
  <c r="H23" i="1"/>
  <c r="N19" i="1"/>
  <c r="M19" i="1"/>
  <c r="L19" i="1"/>
  <c r="K19" i="1"/>
  <c r="J19" i="1"/>
  <c r="I19" i="1"/>
  <c r="H19" i="1"/>
  <c r="N16" i="1"/>
  <c r="M16" i="1"/>
  <c r="L16" i="1"/>
  <c r="K16" i="1"/>
  <c r="J16" i="1"/>
  <c r="I16" i="1"/>
  <c r="H16" i="1"/>
  <c r="H14" i="1"/>
  <c r="I14" i="1"/>
  <c r="J14" i="1"/>
  <c r="K14" i="1"/>
  <c r="L14" i="1"/>
  <c r="M14" i="1"/>
  <c r="N14" i="1"/>
  <c r="L276" i="6"/>
  <c r="K276" i="6"/>
  <c r="J276" i="6"/>
  <c r="I276" i="6"/>
  <c r="H276" i="6"/>
  <c r="G276" i="6"/>
  <c r="F276" i="6"/>
  <c r="E276" i="6"/>
  <c r="D276" i="6"/>
  <c r="L271" i="6"/>
  <c r="K271" i="6"/>
  <c r="J271" i="6"/>
  <c r="I271" i="6"/>
  <c r="H271" i="6"/>
  <c r="G271" i="6"/>
  <c r="F271" i="6"/>
  <c r="E271" i="6"/>
  <c r="D271" i="6"/>
  <c r="L268" i="6"/>
  <c r="K268" i="6"/>
  <c r="J268" i="6"/>
  <c r="I268" i="6"/>
  <c r="H268" i="6"/>
  <c r="G268" i="6"/>
  <c r="F268" i="6"/>
  <c r="E268" i="6"/>
  <c r="D268" i="6"/>
  <c r="L261" i="6"/>
  <c r="K261" i="6"/>
  <c r="J261" i="6"/>
  <c r="I261" i="6"/>
  <c r="H261" i="6"/>
  <c r="G261" i="6"/>
  <c r="F261" i="6"/>
  <c r="E261" i="6"/>
  <c r="D261" i="6"/>
  <c r="L260" i="6"/>
  <c r="K260" i="6"/>
  <c r="J260" i="6"/>
  <c r="I260" i="6"/>
  <c r="H260" i="6"/>
  <c r="G260" i="6"/>
  <c r="F260" i="6"/>
  <c r="E260" i="6"/>
  <c r="D260" i="6"/>
  <c r="L259" i="6"/>
  <c r="K259" i="6"/>
  <c r="J259" i="6"/>
  <c r="I259" i="6"/>
  <c r="H259" i="6"/>
  <c r="G259" i="6"/>
  <c r="F259" i="6"/>
  <c r="E259" i="6"/>
  <c r="D259" i="6"/>
  <c r="L253" i="6"/>
  <c r="K253" i="6"/>
  <c r="J253" i="6"/>
  <c r="I253" i="6"/>
  <c r="H253" i="6"/>
  <c r="G253" i="6"/>
  <c r="F253" i="6"/>
  <c r="E253" i="6"/>
  <c r="D253" i="6"/>
  <c r="L252" i="6"/>
  <c r="K252" i="6"/>
  <c r="J252" i="6"/>
  <c r="I252" i="6"/>
  <c r="H252" i="6"/>
  <c r="G252" i="6"/>
  <c r="F252" i="6"/>
  <c r="E252" i="6"/>
  <c r="D252" i="6"/>
  <c r="L251" i="6"/>
  <c r="L254" i="6" s="1"/>
  <c r="K251" i="6"/>
  <c r="K254" i="6" s="1"/>
  <c r="J251" i="6"/>
  <c r="J254" i="6" s="1"/>
  <c r="I251" i="6"/>
  <c r="I254" i="6" s="1"/>
  <c r="H251" i="6"/>
  <c r="H254" i="6" s="1"/>
  <c r="G251" i="6"/>
  <c r="G254" i="6" s="1"/>
  <c r="F251" i="6"/>
  <c r="F254" i="6" s="1"/>
  <c r="E251" i="6"/>
  <c r="E254" i="6" s="1"/>
  <c r="D251" i="6"/>
  <c r="D254" i="6" s="1"/>
  <c r="L244" i="6"/>
  <c r="K244" i="6"/>
  <c r="J244" i="6"/>
  <c r="I244" i="6"/>
  <c r="H244" i="6"/>
  <c r="G244" i="6"/>
  <c r="F244" i="6"/>
  <c r="E244" i="6"/>
  <c r="D244" i="6"/>
  <c r="L242" i="6"/>
  <c r="K242" i="6"/>
  <c r="J242" i="6"/>
  <c r="I242" i="6"/>
  <c r="H242" i="6"/>
  <c r="G242" i="6"/>
  <c r="F242" i="6"/>
  <c r="E242" i="6"/>
  <c r="D242" i="6"/>
  <c r="L241" i="6"/>
  <c r="K241" i="6"/>
  <c r="J241" i="6"/>
  <c r="I241" i="6"/>
  <c r="H241" i="6"/>
  <c r="G241" i="6"/>
  <c r="F241" i="6"/>
  <c r="E241" i="6"/>
  <c r="D241" i="6"/>
  <c r="L226" i="6"/>
  <c r="K226" i="6"/>
  <c r="J226" i="6"/>
  <c r="I226" i="6"/>
  <c r="H226" i="6"/>
  <c r="G226" i="6"/>
  <c r="F226" i="6"/>
  <c r="E226" i="6"/>
  <c r="D226" i="6"/>
  <c r="L222" i="6"/>
  <c r="K222" i="6"/>
  <c r="J222" i="6"/>
  <c r="I222" i="6"/>
  <c r="H222" i="6"/>
  <c r="G222" i="6"/>
  <c r="F222" i="6"/>
  <c r="E222" i="6"/>
  <c r="D222" i="6"/>
  <c r="L218" i="6"/>
  <c r="K218" i="6"/>
  <c r="J218" i="6"/>
  <c r="I218" i="6"/>
  <c r="H218" i="6"/>
  <c r="G218" i="6"/>
  <c r="F218" i="6"/>
  <c r="E218" i="6"/>
  <c r="D218" i="6"/>
  <c r="L214" i="6"/>
  <c r="K214" i="6"/>
  <c r="J214" i="6"/>
  <c r="I214" i="6"/>
  <c r="H214" i="6"/>
  <c r="G214" i="6"/>
  <c r="F214" i="6"/>
  <c r="E214" i="6"/>
  <c r="D214" i="6"/>
  <c r="L210" i="6"/>
  <c r="K210" i="6"/>
  <c r="J210" i="6"/>
  <c r="I210" i="6"/>
  <c r="H210" i="6"/>
  <c r="G210" i="6"/>
  <c r="F210" i="6"/>
  <c r="E210" i="6"/>
  <c r="D210" i="6"/>
  <c r="L206" i="6"/>
  <c r="L202" i="6" s="1"/>
  <c r="K206" i="6"/>
  <c r="K202" i="6" s="1"/>
  <c r="J206" i="6"/>
  <c r="J202" i="6" s="1"/>
  <c r="I206" i="6"/>
  <c r="I202" i="6" s="1"/>
  <c r="H206" i="6"/>
  <c r="H202" i="6" s="1"/>
  <c r="G206" i="6"/>
  <c r="G202" i="6" s="1"/>
  <c r="F206" i="6"/>
  <c r="F202" i="6" s="1"/>
  <c r="E206" i="6"/>
  <c r="E202" i="6" s="1"/>
  <c r="D206" i="6"/>
  <c r="D202" i="6"/>
  <c r="L196" i="6"/>
  <c r="K196" i="6"/>
  <c r="J196" i="6"/>
  <c r="I196" i="6"/>
  <c r="H196" i="6"/>
  <c r="G196" i="6"/>
  <c r="F196" i="6"/>
  <c r="E196" i="6"/>
  <c r="D196" i="6"/>
  <c r="L192" i="6"/>
  <c r="K192" i="6"/>
  <c r="J192" i="6"/>
  <c r="I192" i="6"/>
  <c r="H192" i="6"/>
  <c r="G192" i="6"/>
  <c r="F192" i="6"/>
  <c r="E192" i="6"/>
  <c r="D192" i="6"/>
  <c r="L188" i="6"/>
  <c r="K188" i="6"/>
  <c r="J188" i="6"/>
  <c r="I188" i="6"/>
  <c r="H188" i="6"/>
  <c r="G188" i="6"/>
  <c r="F188" i="6"/>
  <c r="E188" i="6"/>
  <c r="D188" i="6"/>
  <c r="L184" i="6"/>
  <c r="K184" i="6"/>
  <c r="K180" i="6" s="1"/>
  <c r="J184" i="6"/>
  <c r="J180" i="6" s="1"/>
  <c r="I184" i="6"/>
  <c r="I180" i="6" s="1"/>
  <c r="H184" i="6"/>
  <c r="H180" i="6" s="1"/>
  <c r="G184" i="6"/>
  <c r="G180" i="6" s="1"/>
  <c r="F184" i="6"/>
  <c r="F180" i="6" s="1"/>
  <c r="E184" i="6"/>
  <c r="E180" i="6" s="1"/>
  <c r="D184" i="6"/>
  <c r="D180" i="6"/>
  <c r="K175" i="6"/>
  <c r="J175" i="6"/>
  <c r="I175" i="6"/>
  <c r="H175" i="6"/>
  <c r="G175" i="6"/>
  <c r="F175" i="6"/>
  <c r="E175" i="6"/>
  <c r="D175" i="6"/>
  <c r="K170" i="6"/>
  <c r="J170" i="6"/>
  <c r="I170" i="6"/>
  <c r="H170" i="6"/>
  <c r="G170" i="6"/>
  <c r="F170" i="6"/>
  <c r="E170" i="6"/>
  <c r="D170" i="6"/>
  <c r="L167" i="6"/>
  <c r="K167" i="6"/>
  <c r="J167" i="6"/>
  <c r="I167" i="6"/>
  <c r="H167" i="6"/>
  <c r="G167" i="6"/>
  <c r="F167" i="6"/>
  <c r="F163" i="6" s="1"/>
  <c r="E167" i="6"/>
  <c r="E163" i="6" s="1"/>
  <c r="D167" i="6"/>
  <c r="D163" i="6" s="1"/>
  <c r="L157" i="6"/>
  <c r="K157" i="6"/>
  <c r="J157" i="6"/>
  <c r="I157" i="6"/>
  <c r="H157" i="6"/>
  <c r="G157" i="6"/>
  <c r="F157" i="6"/>
  <c r="E157" i="6"/>
  <c r="D157" i="6"/>
  <c r="L154" i="6"/>
  <c r="K154" i="6"/>
  <c r="K155" i="6" s="1"/>
  <c r="J154" i="6"/>
  <c r="J155" i="6" s="1"/>
  <c r="I154" i="6"/>
  <c r="I155" i="6" s="1"/>
  <c r="H154" i="6"/>
  <c r="H155" i="6" s="1"/>
  <c r="G154" i="6"/>
  <c r="G155" i="6" s="1"/>
  <c r="F154" i="6"/>
  <c r="F155" i="6" s="1"/>
  <c r="E154" i="6"/>
  <c r="E155" i="6" s="1"/>
  <c r="D154" i="6"/>
  <c r="D155" i="6" s="1"/>
  <c r="L134" i="6"/>
  <c r="K134" i="6"/>
  <c r="J134" i="6"/>
  <c r="I134" i="6"/>
  <c r="H134" i="6"/>
  <c r="G134" i="6"/>
  <c r="F134" i="6"/>
  <c r="E134" i="6"/>
  <c r="D134" i="6"/>
  <c r="L128" i="6"/>
  <c r="K128" i="6"/>
  <c r="J128" i="6"/>
  <c r="I128" i="6"/>
  <c r="H128" i="6"/>
  <c r="G128" i="6"/>
  <c r="F128" i="6"/>
  <c r="E128" i="6"/>
  <c r="D128" i="6"/>
  <c r="L122" i="6"/>
  <c r="K122" i="6"/>
  <c r="J122" i="6"/>
  <c r="I122" i="6"/>
  <c r="H122" i="6"/>
  <c r="G122" i="6"/>
  <c r="F122" i="6"/>
  <c r="E122" i="6"/>
  <c r="D122" i="6"/>
  <c r="L116" i="6"/>
  <c r="K116" i="6"/>
  <c r="J116" i="6"/>
  <c r="I116" i="6"/>
  <c r="H116" i="6"/>
  <c r="G116" i="6"/>
  <c r="F116" i="6"/>
  <c r="E116" i="6"/>
  <c r="D116" i="6"/>
  <c r="L110" i="6"/>
  <c r="K110" i="6"/>
  <c r="J110" i="6"/>
  <c r="I110" i="6"/>
  <c r="H110" i="6"/>
  <c r="G110" i="6"/>
  <c r="F110" i="6"/>
  <c r="E110" i="6"/>
  <c r="D110" i="6"/>
  <c r="L104" i="6"/>
  <c r="K104" i="6"/>
  <c r="J104" i="6"/>
  <c r="I104" i="6"/>
  <c r="H104" i="6"/>
  <c r="G104" i="6"/>
  <c r="F104" i="6"/>
  <c r="E104" i="6"/>
  <c r="D104" i="6"/>
  <c r="L98" i="6"/>
  <c r="L95" i="6" s="1"/>
  <c r="K98" i="6"/>
  <c r="K95" i="6" s="1"/>
  <c r="J98" i="6"/>
  <c r="J95" i="6" s="1"/>
  <c r="I98" i="6"/>
  <c r="I95" i="6" s="1"/>
  <c r="H98" i="6"/>
  <c r="H95" i="6" s="1"/>
  <c r="G98" i="6"/>
  <c r="G95" i="6" s="1"/>
  <c r="F98" i="6"/>
  <c r="F95" i="6" s="1"/>
  <c r="E98" i="6"/>
  <c r="E95" i="6" s="1"/>
  <c r="D98" i="6"/>
  <c r="L84" i="6"/>
  <c r="K84" i="6"/>
  <c r="J84" i="6"/>
  <c r="I84" i="6"/>
  <c r="H84" i="6"/>
  <c r="G84" i="6"/>
  <c r="F84" i="6"/>
  <c r="E84" i="6"/>
  <c r="D84" i="6"/>
  <c r="L80" i="6"/>
  <c r="K80" i="6"/>
  <c r="J80" i="6"/>
  <c r="I80" i="6"/>
  <c r="H80" i="6"/>
  <c r="G80" i="6"/>
  <c r="F80" i="6"/>
  <c r="E80" i="6"/>
  <c r="D80" i="6"/>
  <c r="L76" i="6"/>
  <c r="K76" i="6"/>
  <c r="J76" i="6"/>
  <c r="I76" i="6"/>
  <c r="H76" i="6"/>
  <c r="G76" i="6"/>
  <c r="F76" i="6"/>
  <c r="E76" i="6"/>
  <c r="D76" i="6"/>
  <c r="L72" i="6"/>
  <c r="K72" i="6"/>
  <c r="J72" i="6"/>
  <c r="I72" i="6"/>
  <c r="H72" i="6"/>
  <c r="G72" i="6"/>
  <c r="F72" i="6"/>
  <c r="E72" i="6"/>
  <c r="D72" i="6"/>
  <c r="L68" i="6"/>
  <c r="K68" i="6"/>
  <c r="J68" i="6"/>
  <c r="I68" i="6"/>
  <c r="H68" i="6"/>
  <c r="G68" i="6"/>
  <c r="F68" i="6"/>
  <c r="E68" i="6"/>
  <c r="D68" i="6"/>
  <c r="L64" i="6"/>
  <c r="L61" i="6" s="1"/>
  <c r="L152" i="6" s="1"/>
  <c r="L160" i="6" s="1"/>
  <c r="K64" i="6"/>
  <c r="K61" i="6" s="1"/>
  <c r="K152" i="6" s="1"/>
  <c r="K160" i="6" s="1"/>
  <c r="J64" i="6"/>
  <c r="J61" i="6" s="1"/>
  <c r="J152" i="6" s="1"/>
  <c r="J160" i="6" s="1"/>
  <c r="I64" i="6"/>
  <c r="I61" i="6" s="1"/>
  <c r="I152" i="6" s="1"/>
  <c r="I160" i="6" s="1"/>
  <c r="H64" i="6"/>
  <c r="H61" i="6" s="1"/>
  <c r="H152" i="6" s="1"/>
  <c r="H160" i="6" s="1"/>
  <c r="G64" i="6"/>
  <c r="G61" i="6" s="1"/>
  <c r="G152" i="6" s="1"/>
  <c r="G160" i="6" s="1"/>
  <c r="F64" i="6"/>
  <c r="F61" i="6" s="1"/>
  <c r="F152" i="6" s="1"/>
  <c r="F160" i="6" s="1"/>
  <c r="E64" i="6"/>
  <c r="E61" i="6" s="1"/>
  <c r="E152" i="6" s="1"/>
  <c r="E160" i="6" s="1"/>
  <c r="D64" i="6"/>
  <c r="D61" i="6" s="1"/>
  <c r="D152" i="6" s="1"/>
  <c r="D52" i="6"/>
  <c r="D47" i="6"/>
  <c r="D46" i="6"/>
  <c r="D45" i="6"/>
  <c r="D44" i="6"/>
  <c r="D43" i="6"/>
  <c r="D40" i="6"/>
  <c r="D32" i="6"/>
  <c r="D29" i="6"/>
  <c r="D27" i="6"/>
  <c r="D5" i="6"/>
  <c r="G4" i="6"/>
  <c r="B75" i="4"/>
  <c r="C75" i="4" s="1"/>
  <c r="B74" i="4"/>
  <c r="C74" i="4" s="1"/>
  <c r="B73" i="4"/>
  <c r="C73" i="4" s="1"/>
  <c r="B72" i="4"/>
  <c r="C72" i="4" s="1"/>
  <c r="B71" i="4"/>
  <c r="C71" i="4" s="1"/>
  <c r="B70" i="4"/>
  <c r="C70" i="4" s="1"/>
  <c r="B69" i="4"/>
  <c r="C69" i="4" s="1"/>
  <c r="B67" i="4"/>
  <c r="C67" i="4" s="1"/>
  <c r="B65" i="4"/>
  <c r="C65" i="4" s="1"/>
  <c r="B64" i="4"/>
  <c r="C64" i="4" s="1"/>
  <c r="L60" i="4"/>
  <c r="K60" i="4"/>
  <c r="J60" i="4"/>
  <c r="I60" i="4"/>
  <c r="H60" i="4"/>
  <c r="G60" i="4"/>
  <c r="F60" i="4"/>
  <c r="E60" i="4"/>
  <c r="D60" i="4"/>
  <c r="C60" i="4"/>
  <c r="L59" i="4"/>
  <c r="K59" i="4"/>
  <c r="J59" i="4"/>
  <c r="I59" i="4"/>
  <c r="H59" i="4"/>
  <c r="G59" i="4"/>
  <c r="F59" i="4"/>
  <c r="E59" i="4"/>
  <c r="D59" i="4"/>
  <c r="C59" i="4"/>
  <c r="L58" i="4"/>
  <c r="K58" i="4"/>
  <c r="J58" i="4"/>
  <c r="I58" i="4"/>
  <c r="H58" i="4"/>
  <c r="G58" i="4"/>
  <c r="F58" i="4"/>
  <c r="E58" i="4"/>
  <c r="D58" i="4"/>
  <c r="C58" i="4"/>
  <c r="L57" i="4"/>
  <c r="K57" i="4"/>
  <c r="J57" i="4"/>
  <c r="I57" i="4"/>
  <c r="H57" i="4"/>
  <c r="G57" i="4"/>
  <c r="F57" i="4"/>
  <c r="E57" i="4"/>
  <c r="D57" i="4"/>
  <c r="C57" i="4"/>
  <c r="L56" i="4"/>
  <c r="K56" i="4"/>
  <c r="J56" i="4"/>
  <c r="I56" i="4"/>
  <c r="H56" i="4"/>
  <c r="G56" i="4"/>
  <c r="F56" i="4"/>
  <c r="E56" i="4"/>
  <c r="D56" i="4"/>
  <c r="C56" i="4"/>
  <c r="L55" i="4"/>
  <c r="K55" i="4"/>
  <c r="J55" i="4"/>
  <c r="I55" i="4"/>
  <c r="H55" i="4"/>
  <c r="G55" i="4"/>
  <c r="F55" i="4"/>
  <c r="E55" i="4"/>
  <c r="D55" i="4"/>
  <c r="C55" i="4"/>
  <c r="L54" i="4"/>
  <c r="K54" i="4"/>
  <c r="J54" i="4"/>
  <c r="I54" i="4"/>
  <c r="H54" i="4"/>
  <c r="G54" i="4"/>
  <c r="F54" i="4"/>
  <c r="E54" i="4"/>
  <c r="D54" i="4"/>
  <c r="C54" i="4"/>
  <c r="L53" i="4"/>
  <c r="K53" i="4"/>
  <c r="J53" i="4"/>
  <c r="I53" i="4"/>
  <c r="H53" i="4"/>
  <c r="G53" i="4"/>
  <c r="F53" i="4"/>
  <c r="E53" i="4"/>
  <c r="D53" i="4"/>
  <c r="C53" i="4"/>
  <c r="L52" i="4"/>
  <c r="K52" i="4"/>
  <c r="J52" i="4"/>
  <c r="I52" i="4"/>
  <c r="H52" i="4"/>
  <c r="G52" i="4"/>
  <c r="F52" i="4"/>
  <c r="E52" i="4"/>
  <c r="D52" i="4"/>
  <c r="C52" i="4"/>
  <c r="K48" i="4"/>
  <c r="L48" i="4" s="1"/>
  <c r="J48" i="4"/>
  <c r="I48" i="4"/>
  <c r="H48" i="4"/>
  <c r="G48" i="4"/>
  <c r="F48" i="4"/>
  <c r="E48" i="4"/>
  <c r="D48" i="4"/>
  <c r="C48" i="4"/>
  <c r="K47" i="4"/>
  <c r="L47" i="4" s="1"/>
  <c r="J47" i="4"/>
  <c r="I47" i="4"/>
  <c r="H47" i="4"/>
  <c r="G47" i="4"/>
  <c r="F47" i="4"/>
  <c r="E47" i="4"/>
  <c r="D47" i="4"/>
  <c r="C47" i="4"/>
  <c r="K46" i="4"/>
  <c r="L46" i="4" s="1"/>
  <c r="J46" i="4"/>
  <c r="I46" i="4"/>
  <c r="H46" i="4"/>
  <c r="G46" i="4"/>
  <c r="F46" i="4"/>
  <c r="E46" i="4"/>
  <c r="D46" i="4"/>
  <c r="C46" i="4"/>
  <c r="K45" i="4"/>
  <c r="L45" i="4" s="1"/>
  <c r="J45" i="4"/>
  <c r="I45" i="4"/>
  <c r="H45" i="4"/>
  <c r="G45" i="4"/>
  <c r="F45" i="4"/>
  <c r="E45" i="4"/>
  <c r="D45" i="4"/>
  <c r="C45" i="4"/>
  <c r="K44" i="4"/>
  <c r="L44" i="4" s="1"/>
  <c r="J44" i="4"/>
  <c r="I44" i="4"/>
  <c r="H44" i="4"/>
  <c r="G44" i="4"/>
  <c r="F44" i="4"/>
  <c r="E44" i="4"/>
  <c r="D44" i="4"/>
  <c r="C44" i="4"/>
  <c r="K40" i="4"/>
  <c r="L40" i="4" s="1"/>
  <c r="J40" i="4"/>
  <c r="I40" i="4"/>
  <c r="H40" i="4"/>
  <c r="G40" i="4"/>
  <c r="F40" i="4"/>
  <c r="E40" i="4"/>
  <c r="D40" i="4"/>
  <c r="C40" i="4"/>
  <c r="K39" i="4"/>
  <c r="L39" i="4" s="1"/>
  <c r="J39" i="4"/>
  <c r="I39" i="4"/>
  <c r="H39" i="4"/>
  <c r="G39" i="4"/>
  <c r="F39" i="4"/>
  <c r="E39" i="4"/>
  <c r="D39" i="4"/>
  <c r="C39" i="4"/>
  <c r="K38" i="4"/>
  <c r="L38" i="4" s="1"/>
  <c r="J38" i="4"/>
  <c r="I38" i="4"/>
  <c r="H38" i="4"/>
  <c r="G38" i="4"/>
  <c r="F38" i="4"/>
  <c r="E38" i="4"/>
  <c r="D38" i="4"/>
  <c r="C38" i="4"/>
  <c r="K37" i="4"/>
  <c r="L37" i="4" s="1"/>
  <c r="J37" i="4"/>
  <c r="I37" i="4"/>
  <c r="H37" i="4"/>
  <c r="G37" i="4"/>
  <c r="F37" i="4"/>
  <c r="E37" i="4"/>
  <c r="D37" i="4"/>
  <c r="C37" i="4"/>
  <c r="K36" i="4"/>
  <c r="L36" i="4" s="1"/>
  <c r="J36" i="4"/>
  <c r="I36" i="4"/>
  <c r="H36" i="4"/>
  <c r="G36" i="4"/>
  <c r="F36" i="4"/>
  <c r="E36" i="4"/>
  <c r="D36" i="4"/>
  <c r="C36" i="4"/>
  <c r="K35" i="4"/>
  <c r="L35" i="4" s="1"/>
  <c r="J35" i="4"/>
  <c r="I35" i="4"/>
  <c r="H35" i="4"/>
  <c r="G35" i="4"/>
  <c r="F35" i="4"/>
  <c r="E35" i="4"/>
  <c r="D35" i="4"/>
  <c r="C35" i="4"/>
  <c r="L31" i="4"/>
  <c r="K31" i="4"/>
  <c r="J31" i="4"/>
  <c r="I31" i="4"/>
  <c r="H31" i="4"/>
  <c r="G31" i="4"/>
  <c r="F31" i="4"/>
  <c r="E31" i="4"/>
  <c r="D31" i="4"/>
  <c r="C31" i="4"/>
  <c r="L30" i="4"/>
  <c r="K30" i="4"/>
  <c r="J30" i="4"/>
  <c r="I30" i="4"/>
  <c r="H30" i="4"/>
  <c r="G30" i="4"/>
  <c r="F30" i="4"/>
  <c r="E30" i="4"/>
  <c r="D30" i="4"/>
  <c r="C30" i="4"/>
  <c r="L29" i="4"/>
  <c r="K29" i="4"/>
  <c r="J29" i="4"/>
  <c r="I29" i="4"/>
  <c r="H29" i="4"/>
  <c r="G29" i="4"/>
  <c r="F29" i="4"/>
  <c r="E29" i="4"/>
  <c r="D29" i="4"/>
  <c r="C29" i="4"/>
  <c r="L28" i="4"/>
  <c r="K28" i="4"/>
  <c r="J28" i="4"/>
  <c r="I28" i="4"/>
  <c r="H28" i="4"/>
  <c r="G28" i="4"/>
  <c r="F28" i="4"/>
  <c r="E28" i="4"/>
  <c r="D28" i="4"/>
  <c r="C28" i="4"/>
  <c r="L27" i="4"/>
  <c r="K27" i="4"/>
  <c r="J27" i="4"/>
  <c r="I27" i="4"/>
  <c r="H27" i="4"/>
  <c r="G27" i="4"/>
  <c r="F27" i="4"/>
  <c r="E27" i="4"/>
  <c r="D27" i="4"/>
  <c r="C27" i="4"/>
  <c r="L26" i="4"/>
  <c r="K26" i="4"/>
  <c r="J26" i="4"/>
  <c r="I26" i="4"/>
  <c r="H26" i="4"/>
  <c r="G26" i="4"/>
  <c r="F26" i="4"/>
  <c r="E26" i="4"/>
  <c r="D26" i="4"/>
  <c r="C26" i="4"/>
  <c r="L25" i="4"/>
  <c r="K25" i="4"/>
  <c r="J25" i="4"/>
  <c r="I25" i="4"/>
  <c r="H25" i="4"/>
  <c r="G25" i="4"/>
  <c r="F25" i="4"/>
  <c r="E25" i="4"/>
  <c r="D25" i="4"/>
  <c r="C25" i="4"/>
  <c r="L24" i="4"/>
  <c r="K24" i="4"/>
  <c r="J24" i="4"/>
  <c r="I24" i="4"/>
  <c r="H24" i="4"/>
  <c r="G24" i="4"/>
  <c r="F24" i="4"/>
  <c r="E24" i="4"/>
  <c r="D24" i="4"/>
  <c r="C24" i="4"/>
  <c r="L20" i="4"/>
  <c r="K20" i="4"/>
  <c r="J20" i="4"/>
  <c r="I20" i="4"/>
  <c r="H20" i="4"/>
  <c r="G20" i="4"/>
  <c r="F20" i="4"/>
  <c r="E20" i="4"/>
  <c r="D20" i="4"/>
  <c r="C20" i="4"/>
  <c r="L19" i="4"/>
  <c r="K19" i="4"/>
  <c r="J19" i="4"/>
  <c r="I19" i="4"/>
  <c r="H19" i="4"/>
  <c r="G19" i="4"/>
  <c r="F19" i="4"/>
  <c r="E19" i="4"/>
  <c r="D19" i="4"/>
  <c r="C19" i="4"/>
  <c r="L18" i="4"/>
  <c r="K18" i="4"/>
  <c r="J18" i="4"/>
  <c r="I18" i="4"/>
  <c r="H18" i="4"/>
  <c r="G18" i="4"/>
  <c r="F18" i="4"/>
  <c r="E18" i="4"/>
  <c r="D18" i="4"/>
  <c r="C18" i="4"/>
  <c r="L17" i="4"/>
  <c r="K17" i="4"/>
  <c r="J17" i="4"/>
  <c r="I17" i="4"/>
  <c r="H17" i="4"/>
  <c r="G17" i="4"/>
  <c r="F17" i="4"/>
  <c r="E17" i="4"/>
  <c r="D17" i="4"/>
  <c r="C17" i="4"/>
  <c r="L16" i="4"/>
  <c r="K16" i="4"/>
  <c r="J16" i="4"/>
  <c r="I16" i="4"/>
  <c r="H16" i="4"/>
  <c r="G16" i="4"/>
  <c r="F16" i="4"/>
  <c r="E16" i="4"/>
  <c r="D16" i="4"/>
  <c r="C16" i="4"/>
  <c r="L15" i="4"/>
  <c r="K15" i="4"/>
  <c r="J15" i="4"/>
  <c r="I15" i="4"/>
  <c r="H15" i="4"/>
  <c r="G15" i="4"/>
  <c r="F15" i="4"/>
  <c r="E15" i="4"/>
  <c r="D15" i="4"/>
  <c r="C15" i="4"/>
  <c r="B11" i="4"/>
  <c r="B10" i="4"/>
  <c r="B9" i="4"/>
  <c r="B7" i="4"/>
  <c r="B6" i="4"/>
  <c r="B5" i="4"/>
  <c r="C5" i="4" s="1"/>
  <c r="N283" i="1"/>
  <c r="M283" i="1"/>
  <c r="L283" i="1"/>
  <c r="K283" i="1"/>
  <c r="J283" i="1"/>
  <c r="I283" i="1"/>
  <c r="H283" i="1"/>
  <c r="G283" i="1"/>
  <c r="N281" i="1"/>
  <c r="M281" i="1"/>
  <c r="L281" i="1"/>
  <c r="K281" i="1"/>
  <c r="J281" i="1"/>
  <c r="I281" i="1"/>
  <c r="H281" i="1"/>
  <c r="G281" i="1"/>
  <c r="N277" i="1"/>
  <c r="M277" i="1"/>
  <c r="L277" i="1"/>
  <c r="K277" i="1"/>
  <c r="J277" i="1"/>
  <c r="I277" i="1"/>
  <c r="H277" i="1"/>
  <c r="G277" i="1"/>
  <c r="N276" i="1"/>
  <c r="M276" i="1"/>
  <c r="L276" i="1"/>
  <c r="K276" i="1"/>
  <c r="J276" i="1"/>
  <c r="I276" i="1"/>
  <c r="H276" i="1"/>
  <c r="G276" i="1"/>
  <c r="N275" i="1"/>
  <c r="M275" i="1"/>
  <c r="L275" i="1"/>
  <c r="K275" i="1"/>
  <c r="J275" i="1"/>
  <c r="I275" i="1"/>
  <c r="H275" i="1"/>
  <c r="G275" i="1"/>
  <c r="N274" i="1"/>
  <c r="M274" i="1"/>
  <c r="L274" i="1"/>
  <c r="K274" i="1"/>
  <c r="J274" i="1"/>
  <c r="I274" i="1"/>
  <c r="H274" i="1"/>
  <c r="G274" i="1"/>
  <c r="N272" i="1"/>
  <c r="M272" i="1"/>
  <c r="L272" i="1"/>
  <c r="K272" i="1"/>
  <c r="J272" i="1"/>
  <c r="I272" i="1"/>
  <c r="H272" i="1"/>
  <c r="G272" i="1"/>
  <c r="N271" i="1"/>
  <c r="M271" i="1"/>
  <c r="L271" i="1"/>
  <c r="K271" i="1"/>
  <c r="J271" i="1"/>
  <c r="I271" i="1"/>
  <c r="H271" i="1"/>
  <c r="G271" i="1"/>
  <c r="N266" i="1"/>
  <c r="M266" i="1"/>
  <c r="L266" i="1"/>
  <c r="K266" i="1"/>
  <c r="J266" i="1"/>
  <c r="I266" i="1"/>
  <c r="H266" i="1"/>
  <c r="G266" i="1"/>
  <c r="G241" i="1"/>
  <c r="H241" i="1" s="1"/>
  <c r="I241" i="1" s="1"/>
  <c r="J241" i="1" s="1"/>
  <c r="K241" i="1" s="1"/>
  <c r="L241" i="1" s="1"/>
  <c r="M241" i="1" s="1"/>
  <c r="N241" i="1" s="1"/>
  <c r="N239" i="1"/>
  <c r="M239" i="1"/>
  <c r="L239" i="1"/>
  <c r="K239" i="1"/>
  <c r="J239" i="1"/>
  <c r="I239" i="1"/>
  <c r="H239" i="1"/>
  <c r="G239" i="1"/>
  <c r="N234" i="1"/>
  <c r="M234" i="1"/>
  <c r="L234" i="1"/>
  <c r="K234" i="1"/>
  <c r="J234" i="1"/>
  <c r="I234" i="1"/>
  <c r="H234" i="1"/>
  <c r="G234" i="1"/>
  <c r="N229" i="1"/>
  <c r="M229" i="1"/>
  <c r="L229" i="1"/>
  <c r="K229" i="1"/>
  <c r="J229" i="1"/>
  <c r="I229" i="1"/>
  <c r="H229" i="1"/>
  <c r="G229" i="1"/>
  <c r="N227" i="1"/>
  <c r="M227" i="1"/>
  <c r="L227" i="1"/>
  <c r="K227" i="1"/>
  <c r="J227" i="1"/>
  <c r="I227" i="1"/>
  <c r="H227" i="1"/>
  <c r="G227" i="1"/>
  <c r="N222" i="1"/>
  <c r="M222" i="1"/>
  <c r="L222" i="1"/>
  <c r="K222" i="1"/>
  <c r="J222" i="1"/>
  <c r="I222" i="1"/>
  <c r="H222" i="1"/>
  <c r="G222" i="1"/>
  <c r="N217" i="1"/>
  <c r="M217" i="1"/>
  <c r="L217" i="1"/>
  <c r="K217" i="1"/>
  <c r="J217" i="1"/>
  <c r="I217" i="1"/>
  <c r="H217" i="1"/>
  <c r="G217" i="1"/>
  <c r="N216" i="1"/>
  <c r="M216" i="1"/>
  <c r="L216" i="1"/>
  <c r="K216" i="1"/>
  <c r="J216" i="1"/>
  <c r="I216" i="1"/>
  <c r="H216" i="1"/>
  <c r="G216" i="1"/>
  <c r="N215" i="1"/>
  <c r="M215" i="1"/>
  <c r="L215" i="1"/>
  <c r="K215" i="1"/>
  <c r="J215" i="1"/>
  <c r="I215" i="1"/>
  <c r="H215" i="1"/>
  <c r="G215" i="1"/>
  <c r="N214" i="1"/>
  <c r="M214" i="1"/>
  <c r="L214" i="1"/>
  <c r="K214" i="1"/>
  <c r="J214" i="1"/>
  <c r="I214" i="1"/>
  <c r="H214" i="1"/>
  <c r="G214" i="1"/>
  <c r="N208" i="1"/>
  <c r="M208" i="1"/>
  <c r="L208" i="1"/>
  <c r="K208" i="1"/>
  <c r="J208" i="1"/>
  <c r="I208" i="1"/>
  <c r="H208" i="1"/>
  <c r="G208" i="1"/>
  <c r="G175" i="1"/>
  <c r="H175" i="1" s="1"/>
  <c r="I175" i="1" s="1"/>
  <c r="J175" i="1" s="1"/>
  <c r="K175" i="1" s="1"/>
  <c r="L175" i="1" s="1"/>
  <c r="M175" i="1" s="1"/>
  <c r="N175" i="1" s="1"/>
  <c r="N116" i="1"/>
  <c r="M116" i="1"/>
  <c r="L116" i="1"/>
  <c r="K116" i="1"/>
  <c r="J116" i="1"/>
  <c r="I116" i="1"/>
  <c r="H116" i="1"/>
  <c r="G116" i="1"/>
  <c r="H112" i="1"/>
  <c r="I112" i="1" s="1"/>
  <c r="J112" i="1" s="1"/>
  <c r="K112" i="1" s="1"/>
  <c r="L112" i="1" s="1"/>
  <c r="M112" i="1" s="1"/>
  <c r="N112" i="1" s="1"/>
  <c r="N98" i="1"/>
  <c r="M98" i="1"/>
  <c r="L98" i="1"/>
  <c r="K98" i="1"/>
  <c r="J98" i="1"/>
  <c r="I98" i="1"/>
  <c r="H98" i="1"/>
  <c r="G98" i="1"/>
  <c r="H9" i="1"/>
  <c r="I9" i="1" s="1"/>
  <c r="J9" i="1" s="1"/>
  <c r="K9" i="1" s="1"/>
  <c r="L9" i="1" s="1"/>
  <c r="M9" i="1" s="1"/>
  <c r="N9" i="1" s="1"/>
  <c r="L93" i="6" l="1"/>
  <c r="M93" i="6" s="1"/>
  <c r="N93" i="6" s="1"/>
  <c r="O93" i="6" s="1"/>
  <c r="P93" i="6" s="1"/>
  <c r="Q93" i="6" s="1"/>
  <c r="L180" i="6"/>
  <c r="E171" i="6"/>
  <c r="G163" i="6"/>
  <c r="G168" i="6"/>
  <c r="H163" i="6"/>
  <c r="H168" i="6"/>
  <c r="I163" i="6"/>
  <c r="I168" i="6"/>
  <c r="J163" i="6"/>
  <c r="J168" i="6"/>
  <c r="K163" i="6"/>
  <c r="K168" i="6"/>
  <c r="D160" i="6"/>
  <c r="D161" i="6" s="1"/>
  <c r="L155" i="6"/>
  <c r="M154" i="6"/>
  <c r="D95" i="6"/>
  <c r="D232" i="6" s="1"/>
  <c r="D101" i="6"/>
  <c r="F59" i="1"/>
  <c r="F56" i="1"/>
  <c r="N59" i="1"/>
  <c r="N56" i="1"/>
  <c r="M59" i="1"/>
  <c r="M56" i="1"/>
  <c r="L59" i="1"/>
  <c r="L56" i="1"/>
  <c r="K59" i="1"/>
  <c r="K56" i="1"/>
  <c r="J59" i="1"/>
  <c r="J56" i="1"/>
  <c r="I59" i="1"/>
  <c r="I56" i="1"/>
  <c r="H59" i="1"/>
  <c r="H56" i="1"/>
  <c r="G59" i="1"/>
  <c r="G56" i="1"/>
  <c r="D107" i="6"/>
  <c r="G280" i="1"/>
  <c r="G273" i="1"/>
  <c r="G118" i="1"/>
  <c r="H280" i="1"/>
  <c r="H273" i="1"/>
  <c r="H118" i="1"/>
  <c r="I280" i="1"/>
  <c r="I273" i="1"/>
  <c r="I118" i="1"/>
  <c r="J280" i="1"/>
  <c r="J273" i="1"/>
  <c r="J118" i="1"/>
  <c r="K280" i="1"/>
  <c r="K273" i="1"/>
  <c r="K118" i="1"/>
  <c r="L280" i="1"/>
  <c r="L273" i="1"/>
  <c r="L118" i="1"/>
  <c r="M280" i="1"/>
  <c r="M273" i="1"/>
  <c r="M118" i="1"/>
  <c r="B66" i="4"/>
  <c r="C66" i="4" s="1"/>
  <c r="B8" i="4"/>
  <c r="C8" i="4" s="1"/>
  <c r="N280" i="1"/>
  <c r="N273" i="1"/>
  <c r="N118" i="1"/>
  <c r="G282" i="1"/>
  <c r="G209" i="1"/>
  <c r="H282" i="1"/>
  <c r="H209" i="1"/>
  <c r="I282" i="1"/>
  <c r="I209" i="1"/>
  <c r="J282" i="1"/>
  <c r="J209" i="1"/>
  <c r="K282" i="1"/>
  <c r="K209" i="1"/>
  <c r="L282" i="1"/>
  <c r="L209" i="1"/>
  <c r="M282" i="1"/>
  <c r="M209" i="1"/>
  <c r="N282" i="1"/>
  <c r="N209" i="1"/>
  <c r="D256" i="6"/>
  <c r="E256" i="6"/>
  <c r="F256" i="6"/>
  <c r="G256" i="6"/>
  <c r="H256" i="6"/>
  <c r="I256" i="6"/>
  <c r="J256" i="6"/>
  <c r="D48" i="6"/>
  <c r="K256" i="6"/>
  <c r="L256" i="6"/>
  <c r="M256" i="6" s="1"/>
  <c r="N256" i="6" s="1"/>
  <c r="O256" i="6" s="1"/>
  <c r="P256" i="6" s="1"/>
  <c r="Q256" i="6" s="1"/>
  <c r="D257" i="6"/>
  <c r="E257" i="6"/>
  <c r="F257" i="6"/>
  <c r="G257" i="6"/>
  <c r="H257" i="6"/>
  <c r="I257" i="6"/>
  <c r="J257" i="6"/>
  <c r="D49" i="6"/>
  <c r="K257" i="6"/>
  <c r="L257" i="6"/>
  <c r="M257" i="6" s="1"/>
  <c r="N257" i="6" s="1"/>
  <c r="O257" i="6" s="1"/>
  <c r="P257" i="6" s="1"/>
  <c r="Q257" i="6" s="1"/>
  <c r="D258" i="6"/>
  <c r="E258" i="6"/>
  <c r="F258" i="6"/>
  <c r="G258" i="6"/>
  <c r="H258" i="6"/>
  <c r="I258" i="6"/>
  <c r="J258" i="6"/>
  <c r="D50" i="6"/>
  <c r="K258" i="6"/>
  <c r="L258" i="6"/>
  <c r="M258" i="6" s="1"/>
  <c r="N258" i="6" s="1"/>
  <c r="O258" i="6" s="1"/>
  <c r="P258" i="6" s="1"/>
  <c r="Q258" i="6" s="1"/>
  <c r="G228" i="1"/>
  <c r="H228" i="1"/>
  <c r="I228" i="1"/>
  <c r="J228" i="1"/>
  <c r="K228" i="1"/>
  <c r="L228" i="1"/>
  <c r="M228" i="1"/>
  <c r="N228" i="1"/>
  <c r="D265" i="6"/>
  <c r="E265" i="6"/>
  <c r="F265" i="6"/>
  <c r="G265" i="6"/>
  <c r="H265" i="6"/>
  <c r="I265" i="6"/>
  <c r="J265" i="6"/>
  <c r="K265" i="6"/>
  <c r="L265" i="6"/>
  <c r="G269" i="1"/>
  <c r="H269" i="1"/>
  <c r="I269" i="1"/>
  <c r="J269" i="1"/>
  <c r="K269" i="1"/>
  <c r="L269" i="1"/>
  <c r="M269" i="1"/>
  <c r="D20" i="6"/>
  <c r="D21" i="6" s="1"/>
  <c r="N269" i="1"/>
  <c r="C6" i="4"/>
  <c r="C7" i="4"/>
  <c r="C9" i="4"/>
  <c r="C10" i="4"/>
  <c r="C11" i="4"/>
  <c r="Q284" i="6"/>
  <c r="P284" i="6"/>
  <c r="O284" i="6"/>
  <c r="N284" i="6"/>
  <c r="M284" i="6"/>
  <c r="Q279" i="6"/>
  <c r="P279" i="6"/>
  <c r="O279" i="6"/>
  <c r="N279" i="6"/>
  <c r="M279" i="6"/>
  <c r="Q262" i="6"/>
  <c r="P262" i="6"/>
  <c r="O262" i="6"/>
  <c r="N262" i="6"/>
  <c r="M262" i="6"/>
  <c r="Q263" i="6"/>
  <c r="P263" i="6"/>
  <c r="O263" i="6"/>
  <c r="N263" i="6"/>
  <c r="M263" i="6"/>
  <c r="E62" i="6"/>
  <c r="F62" i="6"/>
  <c r="G62" i="6"/>
  <c r="H62" i="6"/>
  <c r="I62" i="6"/>
  <c r="J62" i="6"/>
  <c r="K62" i="6"/>
  <c r="L62" i="6"/>
  <c r="D66" i="6"/>
  <c r="E66" i="6"/>
  <c r="E65" i="6"/>
  <c r="F66" i="6"/>
  <c r="F65" i="6"/>
  <c r="G66" i="6"/>
  <c r="G65" i="6"/>
  <c r="H66" i="6"/>
  <c r="H65" i="6"/>
  <c r="I66" i="6"/>
  <c r="I65" i="6"/>
  <c r="J66" i="6"/>
  <c r="J65" i="6"/>
  <c r="K66" i="6"/>
  <c r="K65" i="6"/>
  <c r="L66" i="6"/>
  <c r="L65" i="6"/>
  <c r="D70" i="6"/>
  <c r="E70" i="6"/>
  <c r="E69" i="6"/>
  <c r="F70" i="6"/>
  <c r="F69" i="6"/>
  <c r="G70" i="6"/>
  <c r="G69" i="6"/>
  <c r="H70" i="6"/>
  <c r="H69" i="6"/>
  <c r="I70" i="6"/>
  <c r="I69" i="6"/>
  <c r="J70" i="6"/>
  <c r="J69" i="6"/>
  <c r="K70" i="6"/>
  <c r="K69" i="6"/>
  <c r="L70" i="6"/>
  <c r="L69" i="6"/>
  <c r="D74" i="6"/>
  <c r="E74" i="6"/>
  <c r="E73" i="6"/>
  <c r="F74" i="6"/>
  <c r="F73" i="6"/>
  <c r="G74" i="6"/>
  <c r="G73" i="6"/>
  <c r="H74" i="6"/>
  <c r="H73" i="6"/>
  <c r="I74" i="6"/>
  <c r="I73" i="6"/>
  <c r="J74" i="6"/>
  <c r="J73" i="6"/>
  <c r="K74" i="6"/>
  <c r="K73" i="6"/>
  <c r="L74" i="6"/>
  <c r="L73" i="6"/>
  <c r="D78" i="6"/>
  <c r="E78" i="6"/>
  <c r="E77" i="6"/>
  <c r="F78" i="6"/>
  <c r="F77" i="6"/>
  <c r="G78" i="6"/>
  <c r="G77" i="6"/>
  <c r="H78" i="6"/>
  <c r="H77" i="6"/>
  <c r="I78" i="6"/>
  <c r="I77" i="6"/>
  <c r="J78" i="6"/>
  <c r="J77" i="6"/>
  <c r="K78" i="6"/>
  <c r="K77" i="6"/>
  <c r="L78" i="6"/>
  <c r="L77" i="6"/>
  <c r="D82" i="6"/>
  <c r="E82" i="6"/>
  <c r="E81" i="6"/>
  <c r="F82" i="6"/>
  <c r="F81" i="6"/>
  <c r="G82" i="6"/>
  <c r="G81" i="6"/>
  <c r="H82" i="6"/>
  <c r="H81" i="6"/>
  <c r="I82" i="6"/>
  <c r="I81" i="6"/>
  <c r="J82" i="6"/>
  <c r="J81" i="6"/>
  <c r="K82" i="6"/>
  <c r="K81" i="6"/>
  <c r="L82" i="6"/>
  <c r="L81" i="6"/>
  <c r="D86" i="6"/>
  <c r="E86" i="6"/>
  <c r="E85" i="6"/>
  <c r="F86" i="6"/>
  <c r="F85" i="6"/>
  <c r="G86" i="6"/>
  <c r="G85" i="6"/>
  <c r="H86" i="6"/>
  <c r="H85" i="6"/>
  <c r="I86" i="6"/>
  <c r="I85" i="6"/>
  <c r="J86" i="6"/>
  <c r="J85" i="6"/>
  <c r="K86" i="6"/>
  <c r="K85" i="6"/>
  <c r="L86" i="6"/>
  <c r="L85" i="6"/>
  <c r="D90" i="6"/>
  <c r="E90" i="6"/>
  <c r="E89" i="6"/>
  <c r="F90" i="6"/>
  <c r="F89" i="6"/>
  <c r="G90" i="6"/>
  <c r="G89" i="6"/>
  <c r="H90" i="6"/>
  <c r="H89" i="6"/>
  <c r="I90" i="6"/>
  <c r="I89" i="6"/>
  <c r="J90" i="6"/>
  <c r="J89" i="6"/>
  <c r="K90" i="6"/>
  <c r="K89" i="6"/>
  <c r="L90" i="6"/>
  <c r="L89" i="6"/>
  <c r="E232" i="6"/>
  <c r="E96" i="6"/>
  <c r="F232" i="6"/>
  <c r="F96" i="6"/>
  <c r="G232" i="6"/>
  <c r="G96" i="6"/>
  <c r="H232" i="6"/>
  <c r="H96" i="6"/>
  <c r="I232" i="6"/>
  <c r="I96" i="6"/>
  <c r="J232" i="6"/>
  <c r="J96" i="6"/>
  <c r="K232" i="6"/>
  <c r="K96" i="6"/>
  <c r="L232" i="6"/>
  <c r="L96" i="6"/>
  <c r="D100" i="6"/>
  <c r="E101" i="6"/>
  <c r="E102" i="6" s="1"/>
  <c r="E100" i="6"/>
  <c r="E99" i="6"/>
  <c r="F101" i="6"/>
  <c r="F102" i="6" s="1"/>
  <c r="F100" i="6"/>
  <c r="F99" i="6"/>
  <c r="G101" i="6"/>
  <c r="G102" i="6" s="1"/>
  <c r="G100" i="6"/>
  <c r="G99" i="6"/>
  <c r="H101" i="6"/>
  <c r="H102" i="6" s="1"/>
  <c r="H100" i="6"/>
  <c r="H99" i="6"/>
  <c r="I101" i="6"/>
  <c r="I102" i="6" s="1"/>
  <c r="I100" i="6"/>
  <c r="I99" i="6"/>
  <c r="J101" i="6"/>
  <c r="J102" i="6" s="1"/>
  <c r="J100" i="6"/>
  <c r="J99" i="6"/>
  <c r="K101" i="6"/>
  <c r="K102" i="6" s="1"/>
  <c r="K100" i="6"/>
  <c r="K99" i="6"/>
  <c r="L101" i="6"/>
  <c r="L100" i="6"/>
  <c r="L99" i="6"/>
  <c r="D106" i="6"/>
  <c r="E107" i="6"/>
  <c r="E108" i="6" s="1"/>
  <c r="E106" i="6"/>
  <c r="E105" i="6"/>
  <c r="F107" i="6"/>
  <c r="F108" i="6" s="1"/>
  <c r="F106" i="6"/>
  <c r="F105" i="6"/>
  <c r="G107" i="6"/>
  <c r="G108" i="6" s="1"/>
  <c r="G106" i="6"/>
  <c r="G105" i="6"/>
  <c r="H107" i="6"/>
  <c r="H108" i="6" s="1"/>
  <c r="H106" i="6"/>
  <c r="H105" i="6"/>
  <c r="I107" i="6"/>
  <c r="I108" i="6" s="1"/>
  <c r="I106" i="6"/>
  <c r="I105" i="6"/>
  <c r="J107" i="6"/>
  <c r="J108" i="6" s="1"/>
  <c r="J106" i="6"/>
  <c r="J105" i="6"/>
  <c r="K107" i="6"/>
  <c r="K108" i="6" s="1"/>
  <c r="K106" i="6"/>
  <c r="K105" i="6"/>
  <c r="L107" i="6"/>
  <c r="L106" i="6"/>
  <c r="L105" i="6"/>
  <c r="D113" i="6"/>
  <c r="D112" i="6"/>
  <c r="E113" i="6"/>
  <c r="E114" i="6" s="1"/>
  <c r="E112" i="6"/>
  <c r="E111" i="6"/>
  <c r="F113" i="6"/>
  <c r="F114" i="6" s="1"/>
  <c r="F112" i="6"/>
  <c r="F111" i="6"/>
  <c r="G113" i="6"/>
  <c r="G114" i="6" s="1"/>
  <c r="G112" i="6"/>
  <c r="G111" i="6"/>
  <c r="H113" i="6"/>
  <c r="H114" i="6" s="1"/>
  <c r="H112" i="6"/>
  <c r="H111" i="6"/>
  <c r="I113" i="6"/>
  <c r="I114" i="6" s="1"/>
  <c r="I112" i="6"/>
  <c r="I111" i="6"/>
  <c r="J113" i="6"/>
  <c r="J114" i="6" s="1"/>
  <c r="J112" i="6"/>
  <c r="J111" i="6"/>
  <c r="K113" i="6"/>
  <c r="K114" i="6" s="1"/>
  <c r="K112" i="6"/>
  <c r="K111" i="6"/>
  <c r="L113" i="6"/>
  <c r="L112" i="6"/>
  <c r="L111" i="6"/>
  <c r="D119" i="6"/>
  <c r="D118" i="6"/>
  <c r="E119" i="6"/>
  <c r="E120" i="6" s="1"/>
  <c r="E118" i="6"/>
  <c r="E117" i="6"/>
  <c r="F119" i="6"/>
  <c r="F120" i="6" s="1"/>
  <c r="F118" i="6"/>
  <c r="F117" i="6"/>
  <c r="G119" i="6"/>
  <c r="G120" i="6" s="1"/>
  <c r="G118" i="6"/>
  <c r="G117" i="6"/>
  <c r="H119" i="6"/>
  <c r="H120" i="6" s="1"/>
  <c r="H118" i="6"/>
  <c r="H117" i="6"/>
  <c r="I119" i="6"/>
  <c r="I120" i="6" s="1"/>
  <c r="I118" i="6"/>
  <c r="I117" i="6"/>
  <c r="J119" i="6"/>
  <c r="J120" i="6" s="1"/>
  <c r="J118" i="6"/>
  <c r="J117" i="6"/>
  <c r="K119" i="6"/>
  <c r="K120" i="6" s="1"/>
  <c r="K118" i="6"/>
  <c r="K117" i="6"/>
  <c r="L119" i="6"/>
  <c r="L118" i="6"/>
  <c r="L117" i="6"/>
  <c r="D125" i="6"/>
  <c r="D124" i="6"/>
  <c r="E125" i="6"/>
  <c r="E126" i="6" s="1"/>
  <c r="E124" i="6"/>
  <c r="E123" i="6"/>
  <c r="F125" i="6"/>
  <c r="F126" i="6" s="1"/>
  <c r="F124" i="6"/>
  <c r="F123" i="6"/>
  <c r="G125" i="6"/>
  <c r="G126" i="6" s="1"/>
  <c r="G124" i="6"/>
  <c r="G123" i="6"/>
  <c r="H125" i="6"/>
  <c r="H126" i="6" s="1"/>
  <c r="H124" i="6"/>
  <c r="H123" i="6"/>
  <c r="I125" i="6"/>
  <c r="I126" i="6" s="1"/>
  <c r="I124" i="6"/>
  <c r="I123" i="6"/>
  <c r="J125" i="6"/>
  <c r="J126" i="6" s="1"/>
  <c r="J124" i="6"/>
  <c r="J123" i="6"/>
  <c r="K125" i="6"/>
  <c r="K126" i="6" s="1"/>
  <c r="K124" i="6"/>
  <c r="K123" i="6"/>
  <c r="L125" i="6"/>
  <c r="L124" i="6"/>
  <c r="L123" i="6"/>
  <c r="D131" i="6"/>
  <c r="D130" i="6"/>
  <c r="E131" i="6"/>
  <c r="E132" i="6" s="1"/>
  <c r="E130" i="6"/>
  <c r="E129" i="6"/>
  <c r="F131" i="6"/>
  <c r="F132" i="6" s="1"/>
  <c r="F130" i="6"/>
  <c r="F129" i="6"/>
  <c r="G131" i="6"/>
  <c r="G132" i="6" s="1"/>
  <c r="G130" i="6"/>
  <c r="G129" i="6"/>
  <c r="H131" i="6"/>
  <c r="H132" i="6" s="1"/>
  <c r="H130" i="6"/>
  <c r="H129" i="6"/>
  <c r="I131" i="6"/>
  <c r="I132" i="6" s="1"/>
  <c r="I130" i="6"/>
  <c r="I129" i="6"/>
  <c r="J131" i="6"/>
  <c r="J132" i="6" s="1"/>
  <c r="J130" i="6"/>
  <c r="J129" i="6"/>
  <c r="K131" i="6"/>
  <c r="K132" i="6" s="1"/>
  <c r="K130" i="6"/>
  <c r="K129" i="6"/>
  <c r="L131" i="6"/>
  <c r="L130" i="6"/>
  <c r="L129" i="6"/>
  <c r="D137" i="6"/>
  <c r="D136" i="6"/>
  <c r="E137" i="6"/>
  <c r="E138" i="6" s="1"/>
  <c r="E136" i="6"/>
  <c r="E135" i="6"/>
  <c r="F137" i="6"/>
  <c r="F138" i="6" s="1"/>
  <c r="F136" i="6"/>
  <c r="F135" i="6"/>
  <c r="G137" i="6"/>
  <c r="G138" i="6" s="1"/>
  <c r="G136" i="6"/>
  <c r="G135" i="6"/>
  <c r="H137" i="6"/>
  <c r="H138" i="6" s="1"/>
  <c r="H136" i="6"/>
  <c r="H135" i="6"/>
  <c r="I137" i="6"/>
  <c r="I138" i="6" s="1"/>
  <c r="I136" i="6"/>
  <c r="I135" i="6"/>
  <c r="J137" i="6"/>
  <c r="J138" i="6" s="1"/>
  <c r="J136" i="6"/>
  <c r="J135" i="6"/>
  <c r="K137" i="6"/>
  <c r="K138" i="6" s="1"/>
  <c r="K136" i="6"/>
  <c r="K135" i="6"/>
  <c r="L137" i="6"/>
  <c r="L136" i="6"/>
  <c r="L135" i="6"/>
  <c r="E161" i="6"/>
  <c r="E153" i="6"/>
  <c r="F161" i="6"/>
  <c r="F153" i="6"/>
  <c r="G161" i="6"/>
  <c r="G153" i="6"/>
  <c r="H161" i="6"/>
  <c r="H153" i="6"/>
  <c r="I161" i="6"/>
  <c r="I153" i="6"/>
  <c r="J161" i="6"/>
  <c r="J153" i="6"/>
  <c r="K161" i="6"/>
  <c r="K153" i="6"/>
  <c r="L161" i="6"/>
  <c r="L153" i="6"/>
  <c r="D158" i="6"/>
  <c r="E158" i="6"/>
  <c r="F158" i="6"/>
  <c r="G158" i="6"/>
  <c r="H158" i="6"/>
  <c r="I158" i="6"/>
  <c r="J158" i="6"/>
  <c r="K158" i="6"/>
  <c r="L158" i="6"/>
  <c r="M158" i="6" s="1"/>
  <c r="D233" i="6"/>
  <c r="D234" i="6" s="1"/>
  <c r="D165" i="6"/>
  <c r="E233" i="6"/>
  <c r="E165" i="6"/>
  <c r="E164" i="6"/>
  <c r="F233" i="6"/>
  <c r="F165" i="6"/>
  <c r="F164" i="6"/>
  <c r="G233" i="6"/>
  <c r="G165" i="6"/>
  <c r="G164" i="6"/>
  <c r="H233" i="6"/>
  <c r="H165" i="6"/>
  <c r="H164" i="6"/>
  <c r="I233" i="6"/>
  <c r="I165" i="6"/>
  <c r="I164" i="6"/>
  <c r="J233" i="6"/>
  <c r="J165" i="6"/>
  <c r="J164" i="6"/>
  <c r="K233" i="6"/>
  <c r="K165" i="6"/>
  <c r="K164" i="6"/>
  <c r="D168" i="6"/>
  <c r="E168" i="6"/>
  <c r="F168" i="6"/>
  <c r="L168" i="6"/>
  <c r="D171" i="6"/>
  <c r="F171" i="6"/>
  <c r="F172" i="6" s="1"/>
  <c r="G171" i="6"/>
  <c r="G172" i="6" s="1"/>
  <c r="H171" i="6"/>
  <c r="H172" i="6" s="1"/>
  <c r="I171" i="6"/>
  <c r="I172" i="6" s="1"/>
  <c r="J171" i="6"/>
  <c r="J172" i="6" s="1"/>
  <c r="K171" i="6"/>
  <c r="K172" i="6" s="1"/>
  <c r="D176" i="6"/>
  <c r="E176" i="6"/>
  <c r="F176" i="6"/>
  <c r="G176" i="6"/>
  <c r="H176" i="6"/>
  <c r="I176" i="6"/>
  <c r="J176" i="6"/>
  <c r="K176" i="6"/>
  <c r="D236" i="6"/>
  <c r="D182" i="6"/>
  <c r="E236" i="6"/>
  <c r="E182" i="6"/>
  <c r="E181" i="6"/>
  <c r="F236" i="6"/>
  <c r="F182" i="6"/>
  <c r="F181" i="6"/>
  <c r="G236" i="6"/>
  <c r="G182" i="6"/>
  <c r="G181" i="6"/>
  <c r="H236" i="6"/>
  <c r="H182" i="6"/>
  <c r="H181" i="6"/>
  <c r="I236" i="6"/>
  <c r="I182" i="6"/>
  <c r="I181" i="6"/>
  <c r="J236" i="6"/>
  <c r="J182" i="6"/>
  <c r="J181" i="6"/>
  <c r="K236" i="6"/>
  <c r="K182" i="6"/>
  <c r="K181" i="6"/>
  <c r="L236" i="6"/>
  <c r="L182" i="6"/>
  <c r="L181" i="6"/>
  <c r="D186" i="6"/>
  <c r="E186" i="6"/>
  <c r="E185" i="6"/>
  <c r="F186" i="6"/>
  <c r="F185" i="6"/>
  <c r="G186" i="6"/>
  <c r="G185" i="6"/>
  <c r="H186" i="6"/>
  <c r="H185" i="6"/>
  <c r="I186" i="6"/>
  <c r="I185" i="6"/>
  <c r="J186" i="6"/>
  <c r="J185" i="6"/>
  <c r="K186" i="6"/>
  <c r="K185" i="6"/>
  <c r="L186" i="6"/>
  <c r="L185" i="6"/>
  <c r="D190" i="6"/>
  <c r="E190" i="6"/>
  <c r="E189" i="6"/>
  <c r="F190" i="6"/>
  <c r="F189" i="6"/>
  <c r="G190" i="6"/>
  <c r="G189" i="6"/>
  <c r="H190" i="6"/>
  <c r="H189" i="6"/>
  <c r="I190" i="6"/>
  <c r="I189" i="6"/>
  <c r="J190" i="6"/>
  <c r="J189" i="6"/>
  <c r="K190" i="6"/>
  <c r="K189" i="6"/>
  <c r="L190" i="6"/>
  <c r="L189" i="6"/>
  <c r="D194" i="6"/>
  <c r="E194" i="6"/>
  <c r="E193" i="6"/>
  <c r="F194" i="6"/>
  <c r="F193" i="6"/>
  <c r="G194" i="6"/>
  <c r="G193" i="6"/>
  <c r="H194" i="6"/>
  <c r="H193" i="6"/>
  <c r="I194" i="6"/>
  <c r="I193" i="6"/>
  <c r="J194" i="6"/>
  <c r="J193" i="6"/>
  <c r="K194" i="6"/>
  <c r="K193" i="6"/>
  <c r="L194" i="6"/>
  <c r="L193" i="6"/>
  <c r="D198" i="6"/>
  <c r="E198" i="6"/>
  <c r="E197" i="6"/>
  <c r="F198" i="6"/>
  <c r="F197" i="6"/>
  <c r="G198" i="6"/>
  <c r="G197" i="6"/>
  <c r="H198" i="6"/>
  <c r="H197" i="6"/>
  <c r="I198" i="6"/>
  <c r="I197" i="6"/>
  <c r="J198" i="6"/>
  <c r="J197" i="6"/>
  <c r="K198" i="6"/>
  <c r="K197" i="6"/>
  <c r="L198" i="6"/>
  <c r="L197" i="6"/>
  <c r="D238" i="6"/>
  <c r="D204" i="6"/>
  <c r="E238" i="6"/>
  <c r="E204" i="6"/>
  <c r="E203" i="6"/>
  <c r="F238" i="6"/>
  <c r="F204" i="6"/>
  <c r="F203" i="6"/>
  <c r="G238" i="6"/>
  <c r="G204" i="6"/>
  <c r="G203" i="6"/>
  <c r="H238" i="6"/>
  <c r="H204" i="6"/>
  <c r="H203" i="6"/>
  <c r="I238" i="6"/>
  <c r="I204" i="6"/>
  <c r="I203" i="6"/>
  <c r="J238" i="6"/>
  <c r="J204" i="6"/>
  <c r="J203" i="6"/>
  <c r="K238" i="6"/>
  <c r="K204" i="6"/>
  <c r="K203" i="6"/>
  <c r="L238" i="6"/>
  <c r="L204" i="6"/>
  <c r="L203" i="6"/>
  <c r="D208" i="6"/>
  <c r="E208" i="6"/>
  <c r="E207" i="6"/>
  <c r="F208" i="6"/>
  <c r="F207" i="6"/>
  <c r="G208" i="6"/>
  <c r="G207" i="6"/>
  <c r="H208" i="6"/>
  <c r="H207" i="6"/>
  <c r="I208" i="6"/>
  <c r="I207" i="6"/>
  <c r="J208" i="6"/>
  <c r="J207" i="6"/>
  <c r="K208" i="6"/>
  <c r="K207" i="6"/>
  <c r="L208" i="6"/>
  <c r="L207" i="6"/>
  <c r="D212" i="6"/>
  <c r="E212" i="6"/>
  <c r="E211" i="6"/>
  <c r="F212" i="6"/>
  <c r="F211" i="6"/>
  <c r="G212" i="6"/>
  <c r="G211" i="6"/>
  <c r="H212" i="6"/>
  <c r="H211" i="6"/>
  <c r="I212" i="6"/>
  <c r="I211" i="6"/>
  <c r="J212" i="6"/>
  <c r="J211" i="6"/>
  <c r="K212" i="6"/>
  <c r="K211" i="6"/>
  <c r="L212" i="6"/>
  <c r="L211" i="6"/>
  <c r="D216" i="6"/>
  <c r="E216" i="6"/>
  <c r="E215" i="6"/>
  <c r="F216" i="6"/>
  <c r="F215" i="6"/>
  <c r="G216" i="6"/>
  <c r="G215" i="6"/>
  <c r="H216" i="6"/>
  <c r="H215" i="6"/>
  <c r="I216" i="6"/>
  <c r="I215" i="6"/>
  <c r="J216" i="6"/>
  <c r="J215" i="6"/>
  <c r="K216" i="6"/>
  <c r="K215" i="6"/>
  <c r="L216" i="6"/>
  <c r="L215" i="6"/>
  <c r="D220" i="6"/>
  <c r="E220" i="6"/>
  <c r="E219" i="6"/>
  <c r="F220" i="6"/>
  <c r="F219" i="6"/>
  <c r="G220" i="6"/>
  <c r="G219" i="6"/>
  <c r="H220" i="6"/>
  <c r="H219" i="6"/>
  <c r="I220" i="6"/>
  <c r="I219" i="6"/>
  <c r="J220" i="6"/>
  <c r="J219" i="6"/>
  <c r="K220" i="6"/>
  <c r="K219" i="6"/>
  <c r="L220" i="6"/>
  <c r="L219" i="6"/>
  <c r="D224" i="6"/>
  <c r="E224" i="6"/>
  <c r="E223" i="6"/>
  <c r="F224" i="6"/>
  <c r="F223" i="6"/>
  <c r="G224" i="6"/>
  <c r="G223" i="6"/>
  <c r="H224" i="6"/>
  <c r="H223" i="6"/>
  <c r="I224" i="6"/>
  <c r="I223" i="6"/>
  <c r="J224" i="6"/>
  <c r="J223" i="6"/>
  <c r="K224" i="6"/>
  <c r="K223" i="6"/>
  <c r="L224" i="6"/>
  <c r="L223" i="6"/>
  <c r="D228" i="6"/>
  <c r="E228" i="6"/>
  <c r="E227" i="6"/>
  <c r="F228" i="6"/>
  <c r="F227" i="6"/>
  <c r="G228" i="6"/>
  <c r="G227" i="6"/>
  <c r="H228" i="6"/>
  <c r="H227" i="6"/>
  <c r="I228" i="6"/>
  <c r="I227" i="6"/>
  <c r="J228" i="6"/>
  <c r="J227" i="6"/>
  <c r="K228" i="6"/>
  <c r="K227" i="6"/>
  <c r="L228" i="6"/>
  <c r="L227" i="6"/>
  <c r="E255" i="6"/>
  <c r="F255" i="6"/>
  <c r="G255" i="6"/>
  <c r="H255" i="6"/>
  <c r="I255" i="6"/>
  <c r="J255" i="6"/>
  <c r="K255" i="6"/>
  <c r="L255" i="6"/>
  <c r="M261" i="6"/>
  <c r="D262" i="6"/>
  <c r="E262" i="6"/>
  <c r="F262" i="6"/>
  <c r="G262" i="6"/>
  <c r="H262" i="6"/>
  <c r="I262" i="6"/>
  <c r="J262" i="6"/>
  <c r="K262" i="6"/>
  <c r="L262" i="6"/>
  <c r="E263" i="6"/>
  <c r="F263" i="6"/>
  <c r="G263" i="6"/>
  <c r="H263" i="6"/>
  <c r="I263" i="6"/>
  <c r="J263" i="6"/>
  <c r="K263" i="6"/>
  <c r="L263" i="6"/>
  <c r="D294" i="6"/>
  <c r="E294" i="6"/>
  <c r="F294" i="6"/>
  <c r="G294" i="6"/>
  <c r="H294" i="6"/>
  <c r="I294" i="6"/>
  <c r="J294" i="6"/>
  <c r="K294" i="6"/>
  <c r="L294" i="6"/>
  <c r="M207" i="6" l="1"/>
  <c r="M185" i="6"/>
  <c r="M184" i="6" s="1"/>
  <c r="E172" i="6"/>
  <c r="M168" i="6"/>
  <c r="N168" i="6" s="1"/>
  <c r="O168" i="6" s="1"/>
  <c r="P168" i="6" s="1"/>
  <c r="Q168" i="6" s="1"/>
  <c r="N158" i="6"/>
  <c r="O158" i="6" s="1"/>
  <c r="P158" i="6" s="1"/>
  <c r="Q158" i="6" s="1"/>
  <c r="M89" i="6"/>
  <c r="M88" i="6" s="1"/>
  <c r="M85" i="6"/>
  <c r="M81" i="6"/>
  <c r="M65" i="6"/>
  <c r="M227" i="6"/>
  <c r="M223" i="6"/>
  <c r="M219" i="6"/>
  <c r="M215" i="6"/>
  <c r="M211" i="6"/>
  <c r="M193" i="6"/>
  <c r="M192" i="6" s="1"/>
  <c r="M189" i="6"/>
  <c r="D237" i="6"/>
  <c r="D239" i="6" s="1"/>
  <c r="D235" i="6"/>
  <c r="M155" i="6"/>
  <c r="N154" i="6"/>
  <c r="L138" i="6"/>
  <c r="M135" i="6"/>
  <c r="N135" i="6" s="1"/>
  <c r="O135" i="6" s="1"/>
  <c r="P135" i="6" s="1"/>
  <c r="Q135" i="6" s="1"/>
  <c r="M138" i="6"/>
  <c r="L132" i="6"/>
  <c r="M129" i="6"/>
  <c r="N129" i="6" s="1"/>
  <c r="O129" i="6" s="1"/>
  <c r="P129" i="6" s="1"/>
  <c r="Q129" i="6" s="1"/>
  <c r="M132" i="6"/>
  <c r="L126" i="6"/>
  <c r="M126" i="6"/>
  <c r="M125" i="6" s="1"/>
  <c r="L120" i="6"/>
  <c r="M120" i="6"/>
  <c r="L114" i="6"/>
  <c r="M114" i="6"/>
  <c r="L108" i="6"/>
  <c r="M108" i="6" s="1"/>
  <c r="L102" i="6"/>
  <c r="M102" i="6" s="1"/>
  <c r="K234" i="6"/>
  <c r="J234" i="6"/>
  <c r="I234" i="6"/>
  <c r="H234" i="6"/>
  <c r="G234" i="6"/>
  <c r="F234" i="6"/>
  <c r="E234" i="6"/>
  <c r="M77" i="6"/>
  <c r="M73" i="6"/>
  <c r="M69" i="6"/>
  <c r="M68" i="6" s="1"/>
  <c r="L247" i="6"/>
  <c r="K247" i="6"/>
  <c r="J247" i="6"/>
  <c r="I247" i="6"/>
  <c r="H247" i="6"/>
  <c r="G247" i="6"/>
  <c r="F247" i="6"/>
  <c r="E247" i="6"/>
  <c r="D247" i="6"/>
  <c r="M241" i="6"/>
  <c r="L264" i="6"/>
  <c r="N230" i="1"/>
  <c r="K264" i="6"/>
  <c r="D51" i="6"/>
  <c r="M230" i="1"/>
  <c r="J264" i="6"/>
  <c r="L230" i="1"/>
  <c r="I264" i="6"/>
  <c r="K230" i="1"/>
  <c r="H264" i="6"/>
  <c r="J230" i="1"/>
  <c r="G264" i="6"/>
  <c r="I230" i="1"/>
  <c r="F264" i="6"/>
  <c r="H230" i="1"/>
  <c r="E264" i="6"/>
  <c r="G230" i="1"/>
  <c r="D264" i="6"/>
  <c r="D266" i="6" s="1"/>
  <c r="B68" i="4"/>
  <c r="C68" i="4" s="1"/>
  <c r="G278" i="1" l="1"/>
  <c r="E267" i="6"/>
  <c r="E266" i="6"/>
  <c r="H278" i="1"/>
  <c r="F267" i="6"/>
  <c r="F266" i="6"/>
  <c r="I278" i="1"/>
  <c r="G267" i="6"/>
  <c r="G266" i="6"/>
  <c r="J278" i="1"/>
  <c r="H267" i="6"/>
  <c r="H266" i="6"/>
  <c r="K278" i="1"/>
  <c r="I267" i="6"/>
  <c r="I266" i="6"/>
  <c r="L278" i="1"/>
  <c r="J267" i="6"/>
  <c r="J266" i="6"/>
  <c r="M278" i="1"/>
  <c r="K267" i="6"/>
  <c r="K266" i="6"/>
  <c r="N278" i="1"/>
  <c r="Q296" i="6"/>
  <c r="Q297" i="6" s="1"/>
  <c r="L267" i="6"/>
  <c r="L266" i="6"/>
  <c r="M264" i="6"/>
  <c r="M242" i="6"/>
  <c r="N65" i="6"/>
  <c r="O65" i="6" s="1"/>
  <c r="P65" i="6" s="1"/>
  <c r="Q65" i="6" s="1"/>
  <c r="M64" i="6"/>
  <c r="N69" i="6"/>
  <c r="O69" i="6" s="1"/>
  <c r="P69" i="6" s="1"/>
  <c r="Q69" i="6" s="1"/>
  <c r="N73" i="6"/>
  <c r="O73" i="6" s="1"/>
  <c r="P73" i="6" s="1"/>
  <c r="Q73" i="6" s="1"/>
  <c r="M72" i="6"/>
  <c r="N77" i="6"/>
  <c r="O77" i="6" s="1"/>
  <c r="P77" i="6" s="1"/>
  <c r="Q77" i="6" s="1"/>
  <c r="M76" i="6"/>
  <c r="N81" i="6"/>
  <c r="O81" i="6" s="1"/>
  <c r="P81" i="6" s="1"/>
  <c r="Q81" i="6" s="1"/>
  <c r="M80" i="6"/>
  <c r="N85" i="6"/>
  <c r="O85" i="6" s="1"/>
  <c r="P85" i="6" s="1"/>
  <c r="Q85" i="6" s="1"/>
  <c r="M84" i="6"/>
  <c r="N89" i="6"/>
  <c r="E237" i="6"/>
  <c r="E239" i="6" s="1"/>
  <c r="E235" i="6"/>
  <c r="F237" i="6"/>
  <c r="F239" i="6" s="1"/>
  <c r="F235" i="6"/>
  <c r="G237" i="6"/>
  <c r="G239" i="6" s="1"/>
  <c r="G235" i="6"/>
  <c r="H237" i="6"/>
  <c r="H239" i="6" s="1"/>
  <c r="H235" i="6"/>
  <c r="I237" i="6"/>
  <c r="I239" i="6" s="1"/>
  <c r="I235" i="6"/>
  <c r="J237" i="6"/>
  <c r="J239" i="6" s="1"/>
  <c r="J235" i="6"/>
  <c r="K237" i="6"/>
  <c r="K239" i="6" s="1"/>
  <c r="K235" i="6"/>
  <c r="N102" i="6"/>
  <c r="O102" i="6" s="1"/>
  <c r="P102" i="6" s="1"/>
  <c r="Q102" i="6" s="1"/>
  <c r="M101" i="6"/>
  <c r="N101" i="6" s="1"/>
  <c r="O101" i="6" s="1"/>
  <c r="P101" i="6" s="1"/>
  <c r="Q101" i="6" s="1"/>
  <c r="N108" i="6"/>
  <c r="O108" i="6" s="1"/>
  <c r="P108" i="6" s="1"/>
  <c r="Q108" i="6" s="1"/>
  <c r="M107" i="6"/>
  <c r="N107" i="6" s="1"/>
  <c r="O107" i="6" s="1"/>
  <c r="P107" i="6" s="1"/>
  <c r="Q107" i="6" s="1"/>
  <c r="N114" i="6"/>
  <c r="O114" i="6" s="1"/>
  <c r="P114" i="6" s="1"/>
  <c r="Q114" i="6" s="1"/>
  <c r="M113" i="6"/>
  <c r="N113" i="6" s="1"/>
  <c r="O113" i="6" s="1"/>
  <c r="P113" i="6" s="1"/>
  <c r="Q113" i="6" s="1"/>
  <c r="N120" i="6"/>
  <c r="O120" i="6" s="1"/>
  <c r="P120" i="6" s="1"/>
  <c r="Q120" i="6" s="1"/>
  <c r="M119" i="6"/>
  <c r="N119" i="6" s="1"/>
  <c r="O119" i="6" s="1"/>
  <c r="P119" i="6" s="1"/>
  <c r="Q119" i="6" s="1"/>
  <c r="N126" i="6"/>
  <c r="O126" i="6" s="1"/>
  <c r="P126" i="6" s="1"/>
  <c r="Q126" i="6" s="1"/>
  <c r="N125" i="6"/>
  <c r="O125" i="6" s="1"/>
  <c r="P125" i="6" s="1"/>
  <c r="Q125" i="6" s="1"/>
  <c r="N132" i="6"/>
  <c r="O132" i="6" s="1"/>
  <c r="P132" i="6" s="1"/>
  <c r="Q132" i="6" s="1"/>
  <c r="M131" i="6"/>
  <c r="N131" i="6" s="1"/>
  <c r="O131" i="6" s="1"/>
  <c r="P131" i="6" s="1"/>
  <c r="Q131" i="6" s="1"/>
  <c r="N138" i="6"/>
  <c r="O138" i="6" s="1"/>
  <c r="P138" i="6" s="1"/>
  <c r="Q138" i="6" s="1"/>
  <c r="M137" i="6"/>
  <c r="N137" i="6" s="1"/>
  <c r="O137" i="6" s="1"/>
  <c r="P137" i="6" s="1"/>
  <c r="Q137" i="6" s="1"/>
  <c r="N155" i="6"/>
  <c r="O154" i="6"/>
  <c r="D243" i="6"/>
  <c r="D245" i="6" s="1"/>
  <c r="D240" i="6"/>
  <c r="N185" i="6"/>
  <c r="O185" i="6" s="1"/>
  <c r="P185" i="6" s="1"/>
  <c r="Q185" i="6" s="1"/>
  <c r="N189" i="6"/>
  <c r="O189" i="6" s="1"/>
  <c r="P189" i="6" s="1"/>
  <c r="Q189" i="6" s="1"/>
  <c r="M188" i="6"/>
  <c r="N193" i="6"/>
  <c r="O193" i="6" s="1"/>
  <c r="P193" i="6" s="1"/>
  <c r="Q193" i="6" s="1"/>
  <c r="N207" i="6"/>
  <c r="O207" i="6" s="1"/>
  <c r="P207" i="6" s="1"/>
  <c r="Q207" i="6" s="1"/>
  <c r="M206" i="6"/>
  <c r="N211" i="6"/>
  <c r="O211" i="6" s="1"/>
  <c r="P211" i="6" s="1"/>
  <c r="Q211" i="6" s="1"/>
  <c r="M210" i="6"/>
  <c r="N215" i="6"/>
  <c r="O215" i="6" s="1"/>
  <c r="P215" i="6" s="1"/>
  <c r="Q215" i="6" s="1"/>
  <c r="M214" i="6"/>
  <c r="N219" i="6"/>
  <c r="O219" i="6" s="1"/>
  <c r="P219" i="6" s="1"/>
  <c r="Q219" i="6" s="1"/>
  <c r="M218" i="6"/>
  <c r="N223" i="6"/>
  <c r="O223" i="6" s="1"/>
  <c r="P223" i="6" s="1"/>
  <c r="Q223" i="6" s="1"/>
  <c r="M222" i="6"/>
  <c r="N227" i="6"/>
  <c r="O227" i="6" s="1"/>
  <c r="P227" i="6" s="1"/>
  <c r="Q227" i="6" s="1"/>
  <c r="M226" i="6"/>
  <c r="M202" i="6" l="1"/>
  <c r="M98" i="6"/>
  <c r="M99" i="6" s="1"/>
  <c r="O89" i="6"/>
  <c r="P89" i="6" s="1"/>
  <c r="Q89" i="6" s="1"/>
  <c r="N88" i="6"/>
  <c r="O88" i="6" s="1"/>
  <c r="P88" i="6" s="1"/>
  <c r="Q88" i="6" s="1"/>
  <c r="M61" i="6"/>
  <c r="M152" i="6" s="1"/>
  <c r="M157" i="6" s="1"/>
  <c r="M167" i="6" s="1"/>
  <c r="N226" i="6"/>
  <c r="N222" i="6"/>
  <c r="N218" i="6"/>
  <c r="N214" i="6"/>
  <c r="N210" i="6"/>
  <c r="N206" i="6"/>
  <c r="N192" i="6"/>
  <c r="N188" i="6"/>
  <c r="N184" i="6"/>
  <c r="D277" i="6"/>
  <c r="D246" i="6"/>
  <c r="O155" i="6"/>
  <c r="P154" i="6"/>
  <c r="K269" i="6"/>
  <c r="K243" i="6"/>
  <c r="K245" i="6" s="1"/>
  <c r="K240" i="6"/>
  <c r="J269" i="6"/>
  <c r="J243" i="6"/>
  <c r="J245" i="6" s="1"/>
  <c r="J240" i="6"/>
  <c r="I269" i="6"/>
  <c r="I243" i="6"/>
  <c r="I245" i="6" s="1"/>
  <c r="I240" i="6"/>
  <c r="H269" i="6"/>
  <c r="H243" i="6"/>
  <c r="H245" i="6" s="1"/>
  <c r="H240" i="6"/>
  <c r="G269" i="6"/>
  <c r="G243" i="6"/>
  <c r="G245" i="6" s="1"/>
  <c r="G240" i="6"/>
  <c r="F269" i="6"/>
  <c r="F243" i="6"/>
  <c r="F245" i="6" s="1"/>
  <c r="F240" i="6"/>
  <c r="E269" i="6"/>
  <c r="E243" i="6"/>
  <c r="E245" i="6" s="1"/>
  <c r="E240" i="6"/>
  <c r="M134" i="6"/>
  <c r="M128" i="6"/>
  <c r="N84" i="6"/>
  <c r="M122" i="6"/>
  <c r="M123" i="6" s="1"/>
  <c r="N80" i="6"/>
  <c r="M116" i="6"/>
  <c r="M117" i="6" s="1"/>
  <c r="N76" i="6"/>
  <c r="M110" i="6"/>
  <c r="M111" i="6" s="1"/>
  <c r="N72" i="6"/>
  <c r="M104" i="6"/>
  <c r="M105" i="6" s="1"/>
  <c r="N68" i="6"/>
  <c r="N64" i="6"/>
  <c r="M267" i="6"/>
  <c r="N264" i="6"/>
  <c r="N242" i="6"/>
  <c r="Q298" i="6"/>
  <c r="P298" i="6"/>
  <c r="O298" i="6"/>
  <c r="N298" i="6"/>
  <c r="M298" i="6"/>
  <c r="M95" i="6" l="1"/>
  <c r="M204" i="6" s="1"/>
  <c r="M62" i="6"/>
  <c r="M90" i="6"/>
  <c r="N267" i="6"/>
  <c r="O264" i="6"/>
  <c r="O242" i="6"/>
  <c r="M86" i="6"/>
  <c r="M82" i="6"/>
  <c r="M78" i="6"/>
  <c r="M74" i="6"/>
  <c r="M70" i="6"/>
  <c r="M66" i="6"/>
  <c r="M91" i="6" s="1"/>
  <c r="N98" i="6"/>
  <c r="N99" i="6" s="1"/>
  <c r="O64" i="6"/>
  <c r="N61" i="6"/>
  <c r="N74" i="6" s="1"/>
  <c r="N104" i="6"/>
  <c r="N105" i="6" s="1"/>
  <c r="N70" i="6"/>
  <c r="O68" i="6"/>
  <c r="M106" i="6"/>
  <c r="N110" i="6"/>
  <c r="N111" i="6" s="1"/>
  <c r="O72" i="6"/>
  <c r="M112" i="6"/>
  <c r="N116" i="6"/>
  <c r="N117" i="6" s="1"/>
  <c r="N78" i="6"/>
  <c r="O76" i="6"/>
  <c r="M118" i="6"/>
  <c r="N122" i="6"/>
  <c r="N123" i="6" s="1"/>
  <c r="N82" i="6"/>
  <c r="O80" i="6"/>
  <c r="M124" i="6"/>
  <c r="N128" i="6"/>
  <c r="N86" i="6"/>
  <c r="O84" i="6"/>
  <c r="M130" i="6"/>
  <c r="N134" i="6"/>
  <c r="N90" i="6"/>
  <c r="M136" i="6"/>
  <c r="E277" i="6"/>
  <c r="E270" i="6"/>
  <c r="E246" i="6"/>
  <c r="F277" i="6"/>
  <c r="F270" i="6"/>
  <c r="F246" i="6"/>
  <c r="G277" i="6"/>
  <c r="G270" i="6"/>
  <c r="G246" i="6"/>
  <c r="H277" i="6"/>
  <c r="H270" i="6"/>
  <c r="H246" i="6"/>
  <c r="I277" i="6"/>
  <c r="I270" i="6"/>
  <c r="I246" i="6"/>
  <c r="J277" i="6"/>
  <c r="J270" i="6"/>
  <c r="J246" i="6"/>
  <c r="K277" i="6"/>
  <c r="K270" i="6"/>
  <c r="K246" i="6"/>
  <c r="P155" i="6"/>
  <c r="Q154" i="6"/>
  <c r="Q155" i="6" s="1"/>
  <c r="O184" i="6"/>
  <c r="O188" i="6"/>
  <c r="O192" i="6"/>
  <c r="M238" i="6"/>
  <c r="M203" i="6"/>
  <c r="M228" i="6"/>
  <c r="M224" i="6"/>
  <c r="M220" i="6"/>
  <c r="M216" i="6"/>
  <c r="M212" i="6"/>
  <c r="M208" i="6"/>
  <c r="O206" i="6"/>
  <c r="N202" i="6"/>
  <c r="N212" i="6"/>
  <c r="O210" i="6"/>
  <c r="N216" i="6"/>
  <c r="O214" i="6"/>
  <c r="N220" i="6"/>
  <c r="O218" i="6"/>
  <c r="N224" i="6"/>
  <c r="O222" i="6"/>
  <c r="N228" i="6"/>
  <c r="O226" i="6"/>
  <c r="M96" i="6" l="1"/>
  <c r="M196" i="6"/>
  <c r="P226" i="6"/>
  <c r="P222" i="6"/>
  <c r="P218" i="6"/>
  <c r="P214" i="6"/>
  <c r="P210" i="6"/>
  <c r="N238" i="6"/>
  <c r="N203" i="6"/>
  <c r="N208" i="6"/>
  <c r="P206" i="6"/>
  <c r="O202" i="6"/>
  <c r="P192" i="6"/>
  <c r="P188" i="6"/>
  <c r="P184" i="6"/>
  <c r="O134" i="6"/>
  <c r="O128" i="6"/>
  <c r="P84" i="6"/>
  <c r="O122" i="6"/>
  <c r="O123" i="6" s="1"/>
  <c r="P80" i="6"/>
  <c r="O116" i="6"/>
  <c r="O117" i="6" s="1"/>
  <c r="P76" i="6"/>
  <c r="O110" i="6"/>
  <c r="O111" i="6" s="1"/>
  <c r="P72" i="6"/>
  <c r="O104" i="6"/>
  <c r="O105" i="6" s="1"/>
  <c r="P68" i="6"/>
  <c r="M232" i="6"/>
  <c r="M180" i="6"/>
  <c r="M100" i="6"/>
  <c r="M139" i="6" s="1"/>
  <c r="N152" i="6"/>
  <c r="N62" i="6"/>
  <c r="N66" i="6"/>
  <c r="N91" i="6" s="1"/>
  <c r="O98" i="6"/>
  <c r="O99" i="6" s="1"/>
  <c r="P64" i="6"/>
  <c r="O61" i="6"/>
  <c r="N95" i="6"/>
  <c r="N96" i="6" s="1"/>
  <c r="M160" i="6"/>
  <c r="M153" i="6"/>
  <c r="O267" i="6"/>
  <c r="P264" i="6"/>
  <c r="P242" i="6"/>
  <c r="M182" i="6" l="1"/>
  <c r="M186" i="6"/>
  <c r="P267" i="6"/>
  <c r="Q264" i="6"/>
  <c r="Q242" i="6"/>
  <c r="N232" i="6"/>
  <c r="N196" i="6"/>
  <c r="N204" i="6"/>
  <c r="N136" i="6"/>
  <c r="N130" i="6"/>
  <c r="N124" i="6"/>
  <c r="N118" i="6"/>
  <c r="N112" i="6"/>
  <c r="N106" i="6"/>
  <c r="N100" i="6"/>
  <c r="N139" i="6" s="1"/>
  <c r="O152" i="6"/>
  <c r="O62" i="6"/>
  <c r="O90" i="6"/>
  <c r="O86" i="6"/>
  <c r="O82" i="6"/>
  <c r="O78" i="6"/>
  <c r="O74" i="6"/>
  <c r="O70" i="6"/>
  <c r="O66" i="6"/>
  <c r="O91" i="6" s="1"/>
  <c r="P98" i="6"/>
  <c r="P99" i="6" s="1"/>
  <c r="Q64" i="6"/>
  <c r="P61" i="6"/>
  <c r="O95" i="6"/>
  <c r="O96" i="6" s="1"/>
  <c r="N157" i="6"/>
  <c r="N160" i="6" s="1"/>
  <c r="N153" i="6"/>
  <c r="M197" i="6"/>
  <c r="M260" i="6"/>
  <c r="M259" i="6" s="1"/>
  <c r="M251" i="6"/>
  <c r="P104" i="6"/>
  <c r="P105" i="6" s="1"/>
  <c r="P70" i="6"/>
  <c r="Q68" i="6"/>
  <c r="O106" i="6"/>
  <c r="P110" i="6"/>
  <c r="P111" i="6" s="1"/>
  <c r="P74" i="6"/>
  <c r="Q72" i="6"/>
  <c r="O112" i="6"/>
  <c r="P116" i="6"/>
  <c r="P117" i="6" s="1"/>
  <c r="P78" i="6"/>
  <c r="Q76" i="6"/>
  <c r="O118" i="6"/>
  <c r="P122" i="6"/>
  <c r="P123" i="6" s="1"/>
  <c r="P82" i="6"/>
  <c r="Q80" i="6"/>
  <c r="O124" i="6"/>
  <c r="P128" i="6"/>
  <c r="P86" i="6"/>
  <c r="Q84" i="6"/>
  <c r="O130" i="6"/>
  <c r="P134" i="6"/>
  <c r="P90" i="6"/>
  <c r="O136" i="6"/>
  <c r="Q184" i="6"/>
  <c r="Q188" i="6"/>
  <c r="Q192" i="6"/>
  <c r="O238" i="6"/>
  <c r="O204" i="6"/>
  <c r="O203" i="6"/>
  <c r="O228" i="6"/>
  <c r="O224" i="6"/>
  <c r="O220" i="6"/>
  <c r="O216" i="6"/>
  <c r="O212" i="6"/>
  <c r="O208" i="6"/>
  <c r="Q206" i="6"/>
  <c r="P202" i="6"/>
  <c r="P212" i="6"/>
  <c r="Q210" i="6"/>
  <c r="P216" i="6"/>
  <c r="Q214" i="6"/>
  <c r="P220" i="6"/>
  <c r="Q218" i="6"/>
  <c r="P224" i="6"/>
  <c r="Q222" i="6"/>
  <c r="P228" i="6"/>
  <c r="Q226" i="6"/>
  <c r="P238" i="6" l="1"/>
  <c r="P203" i="6"/>
  <c r="P208" i="6"/>
  <c r="Q202" i="6"/>
  <c r="Q134" i="6"/>
  <c r="Q128" i="6"/>
  <c r="Q122" i="6"/>
  <c r="Q123" i="6" s="1"/>
  <c r="Q116" i="6"/>
  <c r="Q117" i="6" s="1"/>
  <c r="Q110" i="6"/>
  <c r="Q111" i="6" s="1"/>
  <c r="Q104" i="6"/>
  <c r="Q105" i="6" s="1"/>
  <c r="N261" i="6"/>
  <c r="M236" i="6"/>
  <c r="M181" i="6"/>
  <c r="M194" i="6"/>
  <c r="M190" i="6"/>
  <c r="M198" i="6"/>
  <c r="N167" i="6"/>
  <c r="O232" i="6"/>
  <c r="O196" i="6"/>
  <c r="O100" i="6"/>
  <c r="O139" i="6" s="1"/>
  <c r="P152" i="6"/>
  <c r="P62" i="6"/>
  <c r="P66" i="6"/>
  <c r="P91" i="6" s="1"/>
  <c r="Q98" i="6"/>
  <c r="Q99" i="6" s="1"/>
  <c r="Q61" i="6"/>
  <c r="P95" i="6"/>
  <c r="P96" i="6" s="1"/>
  <c r="O157" i="6"/>
  <c r="O160" i="6" s="1"/>
  <c r="O153" i="6"/>
  <c r="N197" i="6"/>
  <c r="N180" i="6"/>
  <c r="N260" i="6"/>
  <c r="N259" i="6" s="1"/>
  <c r="N251" i="6"/>
  <c r="M161" i="6"/>
  <c r="Q267" i="6"/>
  <c r="O261" i="6" l="1"/>
  <c r="N236" i="6"/>
  <c r="N182" i="6"/>
  <c r="N181" i="6"/>
  <c r="N186" i="6"/>
  <c r="N190" i="6"/>
  <c r="N194" i="6"/>
  <c r="N198" i="6"/>
  <c r="O167" i="6"/>
  <c r="P232" i="6"/>
  <c r="P196" i="6"/>
  <c r="P204" i="6"/>
  <c r="P136" i="6"/>
  <c r="P130" i="6"/>
  <c r="P124" i="6"/>
  <c r="P118" i="6"/>
  <c r="P112" i="6"/>
  <c r="P106" i="6"/>
  <c r="P100" i="6"/>
  <c r="P139" i="6" s="1"/>
  <c r="Q152" i="6"/>
  <c r="Q62" i="6"/>
  <c r="Q90" i="6"/>
  <c r="Q86" i="6"/>
  <c r="Q82" i="6"/>
  <c r="Q78" i="6"/>
  <c r="Q74" i="6"/>
  <c r="Q70" i="6"/>
  <c r="Q66" i="6"/>
  <c r="Q91" i="6" s="1"/>
  <c r="Q95" i="6"/>
  <c r="Q96" i="6" s="1"/>
  <c r="P157" i="6"/>
  <c r="P160" i="6" s="1"/>
  <c r="P153" i="6"/>
  <c r="O197" i="6"/>
  <c r="O180" i="6"/>
  <c r="O260" i="6"/>
  <c r="O259" i="6" s="1"/>
  <c r="O251" i="6"/>
  <c r="N161" i="6"/>
  <c r="Q106" i="6"/>
  <c r="Q112" i="6"/>
  <c r="Q118" i="6"/>
  <c r="Q124" i="6"/>
  <c r="Q130" i="6"/>
  <c r="Q136" i="6"/>
  <c r="Q238" i="6"/>
  <c r="Q204" i="6"/>
  <c r="Q203" i="6"/>
  <c r="Q228" i="6"/>
  <c r="Q224" i="6"/>
  <c r="Q220" i="6"/>
  <c r="Q216" i="6"/>
  <c r="Q212" i="6"/>
  <c r="Q208" i="6"/>
  <c r="P261" i="6" l="1"/>
  <c r="O236" i="6"/>
  <c r="O182" i="6"/>
  <c r="O181" i="6"/>
  <c r="O194" i="6"/>
  <c r="O190" i="6"/>
  <c r="O186" i="6"/>
  <c r="O198" i="6"/>
  <c r="P167" i="6"/>
  <c r="Q232" i="6"/>
  <c r="Q196" i="6"/>
  <c r="Q100" i="6"/>
  <c r="Q139" i="6" s="1"/>
  <c r="Q157" i="6"/>
  <c r="Q160" i="6" s="1"/>
  <c r="Q153" i="6"/>
  <c r="P197" i="6"/>
  <c r="P180" i="6"/>
  <c r="P260" i="6"/>
  <c r="P259" i="6" s="1"/>
  <c r="P251" i="6"/>
  <c r="O161" i="6"/>
  <c r="Q261" i="6" l="1"/>
  <c r="P236" i="6"/>
  <c r="P182" i="6"/>
  <c r="P181" i="6"/>
  <c r="P186" i="6"/>
  <c r="P190" i="6"/>
  <c r="P194" i="6"/>
  <c r="P198" i="6"/>
  <c r="Q167" i="6"/>
  <c r="Q197" i="6"/>
  <c r="Q180" i="6"/>
  <c r="Q260" i="6"/>
  <c r="Q259" i="6" s="1"/>
  <c r="Q251" i="6"/>
  <c r="P161" i="6"/>
  <c r="Q236" i="6" l="1"/>
  <c r="Q182" i="6"/>
  <c r="Q181" i="6"/>
  <c r="Q194" i="6"/>
  <c r="Q190" i="6"/>
  <c r="Q186" i="6"/>
  <c r="Q198" i="6"/>
  <c r="Q161" i="6"/>
  <c r="L171" i="6" l="1"/>
  <c r="M171" i="6" s="1"/>
  <c r="L163" i="6"/>
  <c r="L176" i="6" s="1"/>
  <c r="M176" i="6" s="1"/>
  <c r="L165" i="6"/>
  <c r="L172" i="6" l="1"/>
  <c r="L233" i="6"/>
  <c r="L234" i="6" s="1"/>
  <c r="L164" i="6"/>
  <c r="N171" i="6"/>
  <c r="M172" i="6" l="1"/>
  <c r="M170" i="6"/>
  <c r="O171" i="6"/>
  <c r="N170" i="6"/>
  <c r="N176" i="6"/>
  <c r="O176" i="6"/>
  <c r="P176" i="6"/>
  <c r="Q176" i="6"/>
  <c r="L237" i="6"/>
  <c r="L239" i="6" s="1"/>
  <c r="L235" i="6"/>
  <c r="M175" i="6" l="1"/>
  <c r="M163" i="6" s="1"/>
  <c r="M173" i="6"/>
  <c r="N172" i="6"/>
  <c r="L243" i="6"/>
  <c r="L245" i="6" s="1"/>
  <c r="L240" i="6"/>
  <c r="L269" i="6"/>
  <c r="M233" i="6"/>
  <c r="M165" i="6"/>
  <c r="M164" i="6"/>
  <c r="N175" i="6"/>
  <c r="N163" i="6" s="1"/>
  <c r="P171" i="6"/>
  <c r="O170" i="6"/>
  <c r="O172" i="6" l="1"/>
  <c r="N173" i="6"/>
  <c r="O175" i="6"/>
  <c r="O163" i="6" s="1"/>
  <c r="Q171" i="6"/>
  <c r="Q170" i="6" s="1"/>
  <c r="P170" i="6"/>
  <c r="N233" i="6"/>
  <c r="N165" i="6"/>
  <c r="N164" i="6"/>
  <c r="M234" i="6"/>
  <c r="M252" i="6"/>
  <c r="M253" i="6"/>
  <c r="L246" i="6"/>
  <c r="L270" i="6"/>
  <c r="L277" i="6"/>
  <c r="P172" i="6" l="1"/>
  <c r="Q172" i="6" s="1"/>
  <c r="O173" i="6"/>
  <c r="M254" i="6"/>
  <c r="M255" i="6" s="1"/>
  <c r="M237" i="6"/>
  <c r="M239" i="6" s="1"/>
  <c r="M235" i="6"/>
  <c r="N252" i="6"/>
  <c r="N234" i="6"/>
  <c r="N253" i="6"/>
  <c r="P175" i="6"/>
  <c r="P163" i="6" s="1"/>
  <c r="Q175" i="6"/>
  <c r="Q163" i="6" s="1"/>
  <c r="O233" i="6"/>
  <c r="O165" i="6"/>
  <c r="O164" i="6"/>
  <c r="P173" i="6" l="1"/>
  <c r="Q173" i="6"/>
  <c r="O234" i="6"/>
  <c r="O252" i="6"/>
  <c r="O253" i="6"/>
  <c r="Q233" i="6"/>
  <c r="Q165" i="6"/>
  <c r="Q164" i="6"/>
  <c r="P233" i="6"/>
  <c r="P165" i="6"/>
  <c r="P164" i="6"/>
  <c r="N237" i="6"/>
  <c r="N239" i="6" s="1"/>
  <c r="N235" i="6"/>
  <c r="N254" i="6"/>
  <c r="N255" i="6" s="1"/>
  <c r="M269" i="6"/>
  <c r="M299" i="6" s="1"/>
  <c r="M243" i="6"/>
  <c r="M240" i="6"/>
  <c r="M244" i="6" l="1"/>
  <c r="M245" i="6" s="1"/>
  <c r="N269" i="6"/>
  <c r="N299" i="6" s="1"/>
  <c r="N240" i="6"/>
  <c r="P234" i="6"/>
  <c r="P252" i="6"/>
  <c r="P253" i="6"/>
  <c r="Q252" i="6"/>
  <c r="Q234" i="6"/>
  <c r="Q253" i="6"/>
  <c r="O254" i="6"/>
  <c r="O255" i="6" s="1"/>
  <c r="O237" i="6"/>
  <c r="O239" i="6" s="1"/>
  <c r="O235" i="6"/>
  <c r="O269" i="6" l="1"/>
  <c r="O299" i="6" s="1"/>
  <c r="O240" i="6"/>
  <c r="Q237" i="6"/>
  <c r="Q239" i="6" s="1"/>
  <c r="Q235" i="6"/>
  <c r="Q254" i="6"/>
  <c r="P254" i="6"/>
  <c r="P255" i="6" s="1"/>
  <c r="P237" i="6"/>
  <c r="P239" i="6" s="1"/>
  <c r="P235" i="6"/>
  <c r="M278" i="6"/>
  <c r="M280" i="6" s="1"/>
  <c r="M270" i="6"/>
  <c r="M246" i="6"/>
  <c r="M247" i="6" s="1"/>
  <c r="M268" i="6"/>
  <c r="M271" i="6" l="1"/>
  <c r="Q306" i="6"/>
  <c r="D9" i="6" s="1"/>
  <c r="D8" i="6"/>
  <c r="M285" i="6"/>
  <c r="M265" i="6"/>
  <c r="P269" i="6"/>
  <c r="P299" i="6" s="1"/>
  <c r="P240" i="6"/>
  <c r="Q255" i="6"/>
  <c r="Q269" i="6"/>
  <c r="Q240" i="6"/>
  <c r="Q300" i="6" l="1"/>
  <c r="Q299" i="6"/>
  <c r="Q301" i="6"/>
  <c r="Q302" i="6" s="1"/>
  <c r="Q303" i="6" s="1"/>
  <c r="N241" i="6"/>
  <c r="N243" i="6" s="1"/>
  <c r="M266" i="6"/>
  <c r="M289" i="6"/>
  <c r="M276" i="6"/>
  <c r="M294" i="6" l="1"/>
  <c r="M277" i="6"/>
  <c r="N244" i="6"/>
  <c r="N245" i="6" s="1"/>
  <c r="N270" i="6" l="1"/>
  <c r="N278" i="6"/>
  <c r="N280" i="6" s="1"/>
  <c r="N268" i="6"/>
  <c r="N246" i="6"/>
  <c r="N247" i="6" s="1"/>
  <c r="N271" i="6" s="1"/>
  <c r="N289" i="6" s="1"/>
  <c r="N276" i="6"/>
  <c r="N294" i="6" l="1"/>
  <c r="N277" i="6"/>
  <c r="N285" i="6"/>
  <c r="N265" i="6"/>
  <c r="O241" i="6" l="1"/>
  <c r="O243" i="6" s="1"/>
  <c r="N266" i="6"/>
  <c r="O244" i="6" l="1"/>
  <c r="O245" i="6" s="1"/>
  <c r="O270" i="6" l="1"/>
  <c r="O278" i="6"/>
  <c r="O280" i="6" s="1"/>
  <c r="O268" i="6"/>
  <c r="O246" i="6"/>
  <c r="O247" i="6" s="1"/>
  <c r="O271" i="6" s="1"/>
  <c r="O289" i="6" s="1"/>
  <c r="O276" i="6"/>
  <c r="O294" i="6" l="1"/>
  <c r="O277" i="6"/>
  <c r="O285" i="6"/>
  <c r="O265" i="6"/>
  <c r="P241" i="6" l="1"/>
  <c r="P243" i="6" s="1"/>
  <c r="O266" i="6"/>
  <c r="P244" i="6" l="1"/>
  <c r="P245" i="6" s="1"/>
  <c r="P270" i="6" l="1"/>
  <c r="P278" i="6"/>
  <c r="P280" i="6" s="1"/>
  <c r="P268" i="6"/>
  <c r="P246" i="6"/>
  <c r="P247" i="6" s="1"/>
  <c r="P271" i="6" s="1"/>
  <c r="P289" i="6" s="1"/>
  <c r="P276" i="6"/>
  <c r="P294" i="6" l="1"/>
  <c r="P277" i="6"/>
  <c r="P285" i="6"/>
  <c r="P265" i="6"/>
  <c r="Q241" i="6" l="1"/>
  <c r="Q243" i="6" s="1"/>
  <c r="P266" i="6"/>
  <c r="Q244" i="6" l="1"/>
  <c r="Q245" i="6" s="1"/>
  <c r="Q278" i="6" l="1"/>
  <c r="Q270" i="6"/>
  <c r="Q246" i="6"/>
  <c r="Q247" i="6" s="1"/>
  <c r="Q271" i="6" s="1"/>
  <c r="Q268" i="6"/>
  <c r="Q276" i="6"/>
  <c r="Q294" i="6" l="1"/>
  <c r="Q277" i="6"/>
  <c r="Q293" i="6" s="1"/>
  <c r="Q295" i="6" s="1"/>
  <c r="D14" i="6" s="1"/>
  <c r="Q290" i="6"/>
  <c r="Q289" i="6"/>
  <c r="Q291" i="6" s="1"/>
  <c r="Q292" i="6" s="1"/>
  <c r="D13" i="6" s="1"/>
  <c r="Q286" i="6"/>
  <c r="Q285" i="6"/>
  <c r="Q287" i="6" s="1"/>
  <c r="Q288" i="6" s="1"/>
  <c r="D12" i="6" s="1"/>
  <c r="Q265" i="6"/>
  <c r="Q266" i="6" s="1"/>
  <c r="Q281" i="6"/>
  <c r="Q280" i="6"/>
  <c r="Q282" i="6" s="1"/>
  <c r="Q283" i="6" s="1"/>
  <c r="Q304" i="6" l="1"/>
  <c r="F322" i="6"/>
  <c r="E322" i="6"/>
  <c r="D322" i="6"/>
  <c r="F321" i="6"/>
  <c r="E321" i="6"/>
  <c r="D321" i="6"/>
  <c r="F320" i="6"/>
  <c r="E320" i="6"/>
  <c r="D320" i="6"/>
  <c r="D11" i="6"/>
  <c r="Q305" i="6" l="1"/>
  <c r="F328" i="6"/>
  <c r="E328" i="6"/>
  <c r="D328" i="6"/>
  <c r="F327" i="6"/>
  <c r="E327" i="6"/>
  <c r="D327" i="6"/>
  <c r="F326" i="6"/>
  <c r="E326" i="6"/>
  <c r="D326" i="6"/>
  <c r="H315" i="6"/>
  <c r="I315" i="6" s="1"/>
  <c r="J315" i="6" s="1"/>
  <c r="H314" i="6"/>
  <c r="I314" i="6" s="1"/>
  <c r="J314" i="6" s="1"/>
  <c r="H313" i="6"/>
  <c r="I313" i="6" s="1"/>
  <c r="J313" i="6" s="1"/>
  <c r="D6" i="6"/>
  <c r="K4" i="6"/>
  <c r="D7" i="6" l="1"/>
  <c r="O4" i="6"/>
  <c r="Q307" i="6"/>
  <c r="Q308" i="6" l="1"/>
  <c r="D4" i="6" s="1"/>
  <c r="D10" i="6"/>
</calcChain>
</file>

<file path=xl/sharedStrings.xml><?xml version="1.0" encoding="utf-8"?>
<sst xmlns="http://schemas.openxmlformats.org/spreadsheetml/2006/main" count="1789" uniqueCount="590">
  <si>
    <r>
      <rPr>
        <b/>
        <sz val="10"/>
        <color rgb="FF002366"/>
        <rFont val="Abadi"/>
      </rPr>
      <t xml:space="preserve">
</t>
    </r>
    <r>
      <rPr>
        <sz val="10"/>
        <color rgb="FF002366"/>
        <rFont val="Abadi"/>
      </rPr>
      <t xml:space="preserve">Model by Brian Githinji
</t>
    </r>
  </si>
  <si>
    <t>Dashboard / Final Output</t>
  </si>
  <si>
    <t>Recommendation</t>
  </si>
  <si>
    <t>Current Share Price</t>
  </si>
  <si>
    <t>Target Price</t>
  </si>
  <si>
    <t>Upside / Downside</t>
  </si>
  <si>
    <t>Current share price</t>
  </si>
  <si>
    <t>Target price</t>
  </si>
  <si>
    <t>Upside / downside</t>
  </si>
  <si>
    <t>FY2026E DPS</t>
  </si>
  <si>
    <t>Forward dividend yield</t>
  </si>
  <si>
    <t>Total return</t>
  </si>
  <si>
    <t>Residual Income value</t>
  </si>
  <si>
    <t>FCFE value</t>
  </si>
  <si>
    <t>DDM value</t>
  </si>
  <si>
    <t>Justified P/B value</t>
  </si>
  <si>
    <t xml:space="preserve"> ASSUMPTIONS</t>
  </si>
  <si>
    <t>Core principle</t>
  </si>
  <si>
    <t>Control / Assumption</t>
  </si>
  <si>
    <t>Unit</t>
  </si>
  <si>
    <t>Value</t>
  </si>
  <si>
    <t>Notes</t>
  </si>
  <si>
    <t>KSh/share</t>
  </si>
  <si>
    <t>Editable input only used for upside/total return.</t>
  </si>
  <si>
    <t>Shares outstanding</t>
  </si>
  <si>
    <t>mn shares</t>
  </si>
  <si>
    <t>Formula-linked to share data.</t>
  </si>
  <si>
    <t>Market capitalization</t>
  </si>
  <si>
    <t>KSh mn</t>
  </si>
  <si>
    <t>Current price × shares outstanding.</t>
  </si>
  <si>
    <t>Risk-free rate</t>
  </si>
  <si>
    <t>%</t>
  </si>
  <si>
    <t>Editable market input.</t>
  </si>
  <si>
    <t>Beta</t>
  </si>
  <si>
    <t>x</t>
  </si>
  <si>
    <t>Low-beta regulated utility assumption; editable.</t>
  </si>
  <si>
    <t>Equity risk premium</t>
  </si>
  <si>
    <t>Editable ERP input.</t>
  </si>
  <si>
    <t>Size / liquidity premium</t>
  </si>
  <si>
    <t>NSE liquidity and small-cap premium.</t>
  </si>
  <si>
    <t>Regulatory / turnaround premium</t>
  </si>
  <si>
    <t>Tariff, policy and execution risk.</t>
  </si>
  <si>
    <t>Cost of equity</t>
  </si>
  <si>
    <t>Rf + beta×ERP + size/liquidity + regulatory premium.</t>
  </si>
  <si>
    <t>Normalized pre-tax cost of debt</t>
  </si>
  <si>
    <t>Editable; compare against actual interest/debt.</t>
  </si>
  <si>
    <t>Normalized tax rate</t>
  </si>
  <si>
    <t>Capped at 30% statutory proxy.</t>
  </si>
  <si>
    <t>Inflation assumption</t>
  </si>
  <si>
    <t>Editable macro input.</t>
  </si>
  <si>
    <t>Real GDP growth assumption</t>
  </si>
  <si>
    <t>Editable demand anchor.</t>
  </si>
  <si>
    <t>Terminal growth</t>
  </si>
  <si>
    <t>Long-run nominal regulated utility growth cap.</t>
  </si>
  <si>
    <t>Unit growth floor</t>
  </si>
  <si>
    <t>Electrification and GDP floor.</t>
  </si>
  <si>
    <t>Unit growth cap</t>
  </si>
  <si>
    <t>Prevents extrapolating FY2025 rebound indefinitely.</t>
  </si>
  <si>
    <t>Annual unit-growth fade</t>
  </si>
  <si>
    <t>Growth fades toward mature demand.</t>
  </si>
  <si>
    <t>Effective price growth floor</t>
  </si>
  <si>
    <t>Current tariffs remain in force unless reviewed.</t>
  </si>
  <si>
    <t>Effective price growth cap</t>
  </si>
  <si>
    <t>Partial inflation pass-through, capped.</t>
  </si>
  <si>
    <t>Annual effective-price growth fade</t>
  </si>
  <si>
    <t>Price growth fades as tariffs normalize.</t>
  </si>
  <si>
    <t>Distribution efficiency target</t>
  </si>
  <si>
    <t>Gradual target, not immediate full recovery.</t>
  </si>
  <si>
    <t>Annual efficiency improvement</t>
  </si>
  <si>
    <t>Half latest improvement, capped at 75bps.</t>
  </si>
  <si>
    <t>Thermal share floor</t>
  </si>
  <si>
    <t>Thermal dispatch does not disappear.</t>
  </si>
  <si>
    <t>Thermal share annual fade</t>
  </si>
  <si>
    <t>Gradual renewable integration.</t>
  </si>
  <si>
    <t>Power purchase cost inflation</t>
  </si>
  <si>
    <t>Partial inflation under regulated PPAs.</t>
  </si>
  <si>
    <t>Opex inflation</t>
  </si>
  <si>
    <t>Efficiency offsets full CPI.</t>
  </si>
  <si>
    <t>Normalized ECL charge / revenue</t>
  </si>
  <si>
    <t>Excludes FY2025 reversal.</t>
  </si>
  <si>
    <t>Capex / revenue</t>
  </si>
  <si>
    <t>3-year average capex intensity.</t>
  </si>
  <si>
    <t>Depreciation / opening PPE</t>
  </si>
  <si>
    <t>Recent depreciation / opening PPE proxy.</t>
  </si>
  <si>
    <t>Receivable days target</t>
  </si>
  <si>
    <t>days</t>
  </si>
  <si>
    <t>Recent historical collection profile.</t>
  </si>
  <si>
    <t>Inventory days target</t>
  </si>
  <si>
    <t>Recent historical inventory days.</t>
  </si>
  <si>
    <t>Payables days target</t>
  </si>
  <si>
    <t>Recent historical supplier financing.</t>
  </si>
  <si>
    <t>Debt repayment rate</t>
  </si>
  <si>
    <t>Anchored to latest debt reduction, capped.</t>
  </si>
  <si>
    <t>Dividend payout ratio</t>
  </si>
  <si>
    <t>Latest dividend / PAT, floored at 5%.</t>
  </si>
  <si>
    <t>Residual income weight</t>
  </si>
  <si>
    <t>Primary method for asset-heavy regulated utility.</t>
  </si>
  <si>
    <t>FCFE weight</t>
  </si>
  <si>
    <t>Useful, but debt/WC movements can distort.</t>
  </si>
  <si>
    <t>DDM weight</t>
  </si>
  <si>
    <t>Dividend cross-check.</t>
  </si>
  <si>
    <t>Justified P/B weight</t>
  </si>
  <si>
    <t>Market-friendly utility cross-check.</t>
  </si>
  <si>
    <t>P/B discount factor</t>
  </si>
  <si>
    <t>Discount theoretical P/B for regulatory/liquidity risk.</t>
  </si>
  <si>
    <t xml:space="preserve">REVENUE </t>
  </si>
  <si>
    <t>Line item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</si>
  <si>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</si>
  <si>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</si>
  <si>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</si>
  <si>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</si>
  <si>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</si>
  <si>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</si>
  <si>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</si>
  <si>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</si>
  <si>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</si>
  <si>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2026F</t>
  </si>
  <si>
    <t>2027F</t>
  </si>
  <si>
    <t>2028F</t>
  </si>
  <si>
    <t>2029F</t>
  </si>
  <si>
    <t>2030F</t>
  </si>
  <si>
    <t>TOTAL UNITS SOLD</t>
  </si>
  <si>
    <t>GWh</t>
  </si>
  <si>
    <t>YoY growth</t>
  </si>
  <si>
    <t>Domestic unit sales</t>
  </si>
  <si>
    <t>% of total units</t>
  </si>
  <si>
    <t>Small Commercial unit sales</t>
  </si>
  <si>
    <t>Commercial &amp; Industrial unit sales</t>
  </si>
  <si>
    <t>Street Lighting unit sales</t>
  </si>
  <si>
    <t>E-Mobility unit sales</t>
  </si>
  <si>
    <t>Export unit sales</t>
  </si>
  <si>
    <t>REP / Rural Electrification Programme (memo) unit sales</t>
  </si>
  <si>
    <t>% of Total Sales</t>
  </si>
  <si>
    <t>Revenue by customer category and effective average price per kWh</t>
  </si>
  <si>
    <t>KPLC CUSTOMER REVENUE FROM CONTRACTS (ex REP)</t>
  </si>
  <si>
    <t>Domestic revenue</t>
  </si>
  <si>
    <t>% of KPLC revenue</t>
  </si>
  <si>
    <t>Effective average price per kWh — Domestic</t>
  </si>
  <si>
    <t>KSh/kWh</t>
  </si>
  <si>
    <t>Effective price growth</t>
  </si>
  <si>
    <t>Small Commercial revenue</t>
  </si>
  <si>
    <t>Effective average price per kWh — Small Commercial</t>
  </si>
  <si>
    <t>Commercial &amp; Industrial revenue</t>
  </si>
  <si>
    <t>Effective average price per kWh —Commercial &amp; Industrial</t>
  </si>
  <si>
    <t>Street Lighting revenue</t>
  </si>
  <si>
    <t>Effective average price per kWh — Street Lighting</t>
  </si>
  <si>
    <t>E-Mobility revenue</t>
  </si>
  <si>
    <t>Effective average price per kWh — E-Mobility</t>
  </si>
  <si>
    <t>Export revenue</t>
  </si>
  <si>
    <t>Effective average price per kWh — Export</t>
  </si>
  <si>
    <t>REP / Rural Electrification Programme (memo) revenue</t>
  </si>
  <si>
    <t>Effective average price per kWh — REP / Rural Electrification Programme (memo)</t>
  </si>
  <si>
    <t>% of Total Revenue</t>
  </si>
  <si>
    <t>Regulatory retail tariff benchmark (EPRA) — reference only</t>
  </si>
  <si>
    <t>DC3 ordinary domestic (&gt;100 kWh) Dec-25 retail tariff</t>
  </si>
  <si>
    <t>SC3 small commercial (100–1,500 kWh) Dec-25 retail tariff</t>
  </si>
  <si>
    <t>CI2 commercial &amp; industrial 11kV Dec-25 retail tariff</t>
  </si>
  <si>
    <t>CI reference simple average of CI1–CI7 Dec-25</t>
  </si>
  <si>
    <t>E-mobility Dec-25 retail tariff</t>
  </si>
  <si>
    <t>Street lighting Dec-25 retail tariff</t>
  </si>
  <si>
    <t xml:space="preserve">COST OF SALES </t>
  </si>
  <si>
    <t>Energy purchased - system total</t>
  </si>
  <si>
    <t>Forecast = units sold / distribution efficiency.</t>
  </si>
  <si>
    <t>Distribution efficiency</t>
  </si>
  <si>
    <t>Sales / purchased energy.</t>
  </si>
  <si>
    <t>System losses as % of energy purchased</t>
  </si>
  <si>
    <t>1 - distribution efficiency.</t>
  </si>
  <si>
    <t>Thermal purchases</t>
  </si>
  <si>
    <t>Thermal dispatch raises cost in drought/thermal-heavy years.</t>
  </si>
  <si>
    <t>Thermal purchases / total purchases</t>
  </si>
  <si>
    <t>Non-thermal purchases</t>
  </si>
  <si>
    <t>Total purchased units less thermal purchases.</t>
  </si>
  <si>
    <t>Non-thermal purchases / total purchases</t>
  </si>
  <si>
    <t>Total cost of sales</t>
  </si>
  <si>
    <t>Sum of power-purchase cost components.</t>
  </si>
  <si>
    <t>Cost of sales / revenue</t>
  </si>
  <si>
    <t>Fuel / thermal energy cost</t>
  </si>
  <si>
    <t>Forecast = thermal GWh × thermal price.</t>
  </si>
  <si>
    <t>Thermal purchase price</t>
  </si>
  <si>
    <t>KSh mn / GWh = KSh/kWh.</t>
  </si>
  <si>
    <t>Renewable / non-fuel energy cost</t>
  </si>
  <si>
    <t>Forecast = non-thermal GWh × non-thermal price.</t>
  </si>
  <si>
    <t>Non-thermal purchase price</t>
  </si>
  <si>
    <t>FX / unrealised FX / other power purchase costs</t>
  </si>
  <si>
    <t>Forecast as a recent cost ratio applied to energy cost base.</t>
  </si>
  <si>
    <t>FX / other cost as % of cost of sales</t>
  </si>
  <si>
    <t xml:space="preserve">OPERATING EXPENSE </t>
  </si>
  <si>
    <t>Total net operating expenses</t>
  </si>
  <si>
    <t>Opex / revenue</t>
  </si>
  <si>
    <t>Network management</t>
  </si>
  <si>
    <t>% of total net opex</t>
  </si>
  <si>
    <t>Commercial services</t>
  </si>
  <si>
    <t>Administration</t>
  </si>
  <si>
    <t>Expected credit losses on financial assets</t>
  </si>
  <si>
    <t xml:space="preserve">OTHER INCOME </t>
  </si>
  <si>
    <t>Total other income</t>
  </si>
  <si>
    <t>Other income / revenue</t>
  </si>
  <si>
    <t>Amortisation of capital contribution</t>
  </si>
  <si>
    <t>% of total other income</t>
  </si>
  <si>
    <t>Fibre optic leases</t>
  </si>
  <si>
    <t>Miscellaneous revenue / sales</t>
  </si>
  <si>
    <t>Capital contribution - Last Mile / recoveries</t>
  </si>
  <si>
    <t>Reconnection charges</t>
  </si>
  <si>
    <t>Rent</t>
  </si>
  <si>
    <t xml:space="preserve"> INCOME STATEMENT</t>
  </si>
  <si>
    <t>Revenue from contracts with customers</t>
  </si>
  <si>
    <t>Cost of sales</t>
  </si>
  <si>
    <t>Gross profit</t>
  </si>
  <si>
    <t>Gross margin</t>
  </si>
  <si>
    <t>Net operating expenses</t>
  </si>
  <si>
    <t>Operating income before other income</t>
  </si>
  <si>
    <t>Other income</t>
  </si>
  <si>
    <t>Operating profit / EBIT</t>
  </si>
  <si>
    <t>EBIT margin</t>
  </si>
  <si>
    <t>Finance income</t>
  </si>
  <si>
    <t>Finance costs</t>
  </si>
  <si>
    <t>Profit before tax</t>
  </si>
  <si>
    <t>Income tax expense / credit</t>
  </si>
  <si>
    <t>Profit for the year</t>
  </si>
  <si>
    <t>EPS</t>
  </si>
  <si>
    <t>DPS</t>
  </si>
  <si>
    <t>WORKING CAPITAL, CAPEX, DEBT AND CASH FLOW</t>
  </si>
  <si>
    <t>Trade and other receivables</t>
  </si>
  <si>
    <t>Inventories</t>
  </si>
  <si>
    <t>Trade and other payables - current</t>
  </si>
  <si>
    <t>Net working capital proxy</t>
  </si>
  <si>
    <t>Change in net working capital</t>
  </si>
  <si>
    <t>Receivable days</t>
  </si>
  <si>
    <t>Inventory days</t>
  </si>
  <si>
    <t>Payables days</t>
  </si>
  <si>
    <t>Property and equipment</t>
  </si>
  <si>
    <t>Capital expenditure</t>
  </si>
  <si>
    <t>Depreciation and amortisation</t>
  </si>
  <si>
    <t>Total debt incl. leases and overdraft</t>
  </si>
  <si>
    <t>Cash and short-term deposits</t>
  </si>
  <si>
    <t>Net debt / (net cash)</t>
  </si>
  <si>
    <t>Net borrowing / (repayment)</t>
  </si>
  <si>
    <t>Operating cash flow</t>
  </si>
  <si>
    <t>FCFF</t>
  </si>
  <si>
    <t>EBIT after tax + D&amp;A - capex - ΔNWC</t>
  </si>
  <si>
    <t>FCFE</t>
  </si>
  <si>
    <t>PAT + D&amp;A - capex - ΔNWC + net borrowing</t>
  </si>
  <si>
    <t>Ordinary dividends</t>
  </si>
  <si>
    <t>VALUATION — RESIDUAL INCOME PRIMARY, FCFE/DDM/PB CROSS-CHECKS</t>
  </si>
  <si>
    <t>KPLC is a regulated asset-heavy utility. Residual income and P/B logic are emphasized; DCF remains a cross-check.</t>
  </si>
  <si>
    <t>2017A</t>
  </si>
  <si>
    <t>2018A</t>
  </si>
  <si>
    <t>2019A</t>
  </si>
  <si>
    <t>2020A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</si>
  <si>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</si>
  <si>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</si>
  <si>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</si>
  <si>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</si>
  <si>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</si>
  <si>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</si>
  <si>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</si>
  <si>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</si>
  <si>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</si>
  <si>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</si>
  <si>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Analyst Notes</t>
  </si>
  <si>
    <t>Book equity</t>
  </si>
  <si>
    <t>ROE</t>
  </si>
  <si>
    <t>Residual income</t>
  </si>
  <si>
    <t>Net income - cost of equity × beginning book equity</t>
  </si>
  <si>
    <t>RI discount factor</t>
  </si>
  <si>
    <t>PV residual income</t>
  </si>
  <si>
    <t>Terminal residual income value</t>
  </si>
  <si>
    <t>Residual income equity value</t>
  </si>
  <si>
    <t>Book equity + PV RI + PV terminal RI</t>
  </si>
  <si>
    <t>Residual income value per share</t>
  </si>
  <si>
    <t>FCFE discount factor</t>
  </si>
  <si>
    <t>PV FCFE</t>
  </si>
  <si>
    <t>Terminal FCFE value</t>
  </si>
  <si>
    <t>FCFE equity value</t>
  </si>
  <si>
    <t>FCFE value per share</t>
  </si>
  <si>
    <t>PV dividends</t>
  </si>
  <si>
    <t>Terminal dividend value</t>
  </si>
  <si>
    <t>DDM equity value</t>
  </si>
  <si>
    <t>DDM value per share</t>
  </si>
  <si>
    <t>Justified P/B multiple</t>
  </si>
  <si>
    <t>Gordon-growth implied P/B with prudence discount.</t>
  </si>
  <si>
    <t>Book value per share</t>
  </si>
  <si>
    <t>Justified P/B value per share</t>
  </si>
  <si>
    <t>Debt weight</t>
  </si>
  <si>
    <t>Market-cap + debt capital structure.</t>
  </si>
  <si>
    <t>WACC</t>
  </si>
  <si>
    <t>FCFF discount factor</t>
  </si>
  <si>
    <t>PV FCFF</t>
  </si>
  <si>
    <t>Terminal FCFF value</t>
  </si>
  <si>
    <t>FCFF enterprise value</t>
  </si>
  <si>
    <t>FCFF equity value</t>
  </si>
  <si>
    <t>EV + cash - debt.</t>
  </si>
  <si>
    <t>FCFF / DCF value per share</t>
  </si>
  <si>
    <t>Cross-check only.</t>
  </si>
  <si>
    <t>Final weighted target price</t>
  </si>
  <si>
    <t>Weights exclude DCF from target; DCF remains cross-check.</t>
  </si>
  <si>
    <t>FY2026E dividend yield</t>
  </si>
  <si>
    <t>text</t>
  </si>
  <si>
    <t>Recommendation based on total return.</t>
  </si>
  <si>
    <t>SCENARIO ANALYSIS — DRIVER-BASED</t>
  </si>
  <si>
    <t>Scenarios adjust actual drivers: unit growth, price growth, efficiency, cost inflation and cost of equity.</t>
  </si>
  <si>
    <t>Scenario</t>
  </si>
  <si>
    <t>Unit growth factor</t>
  </si>
  <si>
    <t>Price growth factor</t>
  </si>
  <si>
    <t>Efficiency uplift</t>
  </si>
  <si>
    <t>Cost inflation factor</t>
  </si>
  <si>
    <t>Cost of equity shock</t>
  </si>
  <si>
    <t>Value / share</t>
  </si>
  <si>
    <t>Upside</t>
  </si>
  <si>
    <t>Bear</t>
  </si>
  <si>
    <t>Base</t>
  </si>
  <si>
    <t>Bull</t>
  </si>
  <si>
    <t>SENSITIVITY TABLES</t>
  </si>
  <si>
    <t>Residual Income value / share sensitivity</t>
  </si>
  <si>
    <t>Cost of equity \ Terminal growth</t>
  </si>
  <si>
    <t>Revenue growth / gross margin sensitivity</t>
  </si>
  <si>
    <t>Gross margin factor</t>
  </si>
  <si>
    <t>Unit growth factor \ Gross margin factor</t>
  </si>
  <si>
    <t>Revenue &amp; Cost Structure Analytics</t>
  </si>
  <si>
    <t>FY2025 income statement snapshot</t>
  </si>
  <si>
    <t>Metric</t>
  </si>
  <si>
    <t>% / margin</t>
  </si>
  <si>
    <t>Formula basis</t>
  </si>
  <si>
    <t>P&amp;L revenue total</t>
  </si>
  <si>
    <t>Cost burden / revenue</t>
  </si>
  <si>
    <t>Gross profit / revenue</t>
  </si>
  <si>
    <t>Opex burden / revenue</t>
  </si>
  <si>
    <t>Operating profit</t>
  </si>
  <si>
    <t>Operating profit / revenue</t>
  </si>
  <si>
    <t>Net margin</t>
  </si>
  <si>
    <t>IFRS revenue component contribution — % of revenue from contracts</t>
  </si>
  <si>
    <t>Component</t>
  </si>
  <si>
    <t>FY2025 value</t>
  </si>
  <si>
    <t>CAGR 2018–2025</t>
  </si>
  <si>
    <t>Post-paid electricity sales</t>
  </si>
  <si>
    <t>Prepaid electricity sales</t>
  </si>
  <si>
    <t>Foreign exchange adjustment</t>
  </si>
  <si>
    <t>Fuel cost charge / fuel cost recovery</t>
  </si>
  <si>
    <t>Revenue apportioned to RES</t>
  </si>
  <si>
    <t>Total revenue from contracts</t>
  </si>
  <si>
    <t>Tariff category revenue mix — % of tariff category total</t>
  </si>
  <si>
    <t>Tariff category</t>
  </si>
  <si>
    <t>Small commercial revenue</t>
  </si>
  <si>
    <t>Commercial &amp; industrial revenue</t>
  </si>
  <si>
    <t>Street lighting revenue</t>
  </si>
  <si>
    <t>E-mobility revenue</t>
  </si>
  <si>
    <t>REP revenue</t>
  </si>
  <si>
    <t>Total tariff category revenue</t>
  </si>
  <si>
    <t>Cost of sales structure — % contribution to total cost of sales</t>
  </si>
  <si>
    <t>Cost component</t>
  </si>
  <si>
    <t>FY2025 % of revenue</t>
  </si>
  <si>
    <t>Renewable/non-fuel energy cost</t>
  </si>
  <si>
    <t>Foreign exchange costs on power purchases</t>
  </si>
  <si>
    <t>Unrealised foreign exchange costs</t>
  </si>
  <si>
    <t>Other power purchase costs</t>
  </si>
  <si>
    <t>Operating expense structure — signed % contribution to total net operating expenses</t>
  </si>
  <si>
    <t>Operating expense</t>
  </si>
  <si>
    <t>FY2025 impact / revenue</t>
  </si>
  <si>
    <t>Other income contribution — % of total other income</t>
  </si>
  <si>
    <t>Other income item</t>
  </si>
  <si>
    <t>GOK support for 15% tariff reduction</t>
  </si>
  <si>
    <t>Transmission line maintenance revenue</t>
  </si>
  <si>
    <t>FY2025 operating bridge — line item as % of revenue</t>
  </si>
  <si>
    <t>% of revenue</t>
  </si>
  <si>
    <t>Revenue baseline</t>
  </si>
  <si>
    <t>Signed impact on revenue</t>
  </si>
  <si>
    <t>Revenue less cost of sales</t>
  </si>
  <si>
    <t>Gross profit less opex</t>
  </si>
  <si>
    <t>Incremental other income</t>
  </si>
  <si>
    <t>Revenue to operating profit</t>
  </si>
  <si>
    <t>Below operating profit</t>
  </si>
  <si>
    <t>Profit before income tax</t>
  </si>
  <si>
    <t>Pre-tax profit</t>
  </si>
  <si>
    <t>Tax impact</t>
  </si>
  <si>
    <t>Net profit</t>
  </si>
  <si>
    <t>Interpretation notes: revenue mix tables use revenue from contracts as the denominator; tariff category mix uses the sum of tariff-category revenue lines; cost-of-sales and operating expense mix use their respective signed totals so components reconcile to 100%. Positive ECL in FY2025 is shown as a negative contribution to net operating expenses because it offsets expenses.</t>
  </si>
  <si>
    <t xml:space="preserve"> Regional Segment Analysis (Revenue, FY2018–FY2025)</t>
  </si>
  <si>
    <t>Region</t>
  </si>
  <si>
    <t>FY2018 (KSh mn)</t>
  </si>
  <si>
    <t>FY2025 (KSh mn)</t>
  </si>
  <si>
    <t>CAGR FY18-25</t>
  </si>
  <si>
    <t>FY2025 % of total revenue</t>
  </si>
  <si>
    <t>FY2025 operating margin</t>
  </si>
  <si>
    <t>Nairobi Region</t>
  </si>
  <si>
    <t> </t>
  </si>
  <si>
    <t>West Kenya Region</t>
  </si>
  <si>
    <t>Coast Region</t>
  </si>
  <si>
    <t>Mount Kenya Region</t>
  </si>
  <si>
    <t>Total</t>
  </si>
  <si>
    <r>
      <rPr>
        <b/>
        <sz val="10"/>
        <color rgb="FF002366"/>
        <rFont val="Abadi"/>
      </rPr>
      <t xml:space="preserve">Fahamisha Investing
</t>
    </r>
    <r>
      <rPr>
        <sz val="10"/>
        <color rgb="FF002366"/>
        <rFont val="Abadi"/>
      </rPr>
      <t xml:space="preserve">Model by Brian Githinji
</t>
    </r>
  </si>
  <si>
    <t>Company name</t>
  </si>
  <si>
    <t>Kenya Power Lightning &amp; Co</t>
  </si>
  <si>
    <t>Ticker</t>
  </si>
  <si>
    <t>KPLC</t>
  </si>
  <si>
    <t>Share price</t>
  </si>
  <si>
    <t>Share price date</t>
  </si>
  <si>
    <t>Financial Year - Last year ended</t>
  </si>
  <si>
    <t>Model date</t>
  </si>
  <si>
    <t>Shares Outstanding (Millions)</t>
  </si>
  <si>
    <t>Section</t>
  </si>
  <si>
    <t>Sub-section</t>
  </si>
  <si>
    <t>Ownership</t>
  </si>
  <si>
    <t>Government of Kenya ordinary shareholding</t>
  </si>
  <si>
    <t xml:space="preserve"> Key operating KPIs</t>
  </si>
  <si>
    <t>Units, losses, efficiency, demand</t>
  </si>
  <si>
    <t>D. Key operating KPIs</t>
  </si>
  <si>
    <t>Energy demand</t>
  </si>
  <si>
    <t>Growth Rate</t>
  </si>
  <si>
    <t>Total sales</t>
  </si>
  <si>
    <t>Efficiency</t>
  </si>
  <si>
    <t>System losses</t>
  </si>
  <si>
    <t>Distribution efficiency / sales % of energy purchased</t>
  </si>
  <si>
    <t>Demand</t>
  </si>
  <si>
    <t>System peak demand</t>
  </si>
  <si>
    <t>MW</t>
  </si>
  <si>
    <t>System load factor</t>
  </si>
  <si>
    <t>Tariff/revenue</t>
  </si>
  <si>
    <t>Average yield of units sold</t>
  </si>
  <si>
    <t>cents/kWh</t>
  </si>
  <si>
    <t>Cost/revenue</t>
  </si>
  <si>
    <t>Average cost of units sold</t>
  </si>
  <si>
    <t>E. Unit sales and customer metrics</t>
  </si>
  <si>
    <t>Customer mix and sales mix</t>
  </si>
  <si>
    <t>Unit sales</t>
  </si>
  <si>
    <t>KPLC system sales</t>
  </si>
  <si>
    <t>% of total sales</t>
  </si>
  <si>
    <t>REP system sales</t>
  </si>
  <si>
    <t>Export sales</t>
  </si>
  <si>
    <t>Customer category</t>
  </si>
  <si>
    <t>Domestic sales</t>
  </si>
  <si>
    <t>Small commercial sales</t>
  </si>
  <si>
    <t>Commercial and industrial sales</t>
  </si>
  <si>
    <t>Street lighting sales</t>
  </si>
  <si>
    <t>E-mobility sales</t>
  </si>
  <si>
    <t>Customer base</t>
  </si>
  <si>
    <t>KPLC customers</t>
  </si>
  <si>
    <t>Customers</t>
  </si>
  <si>
    <t>% of total customers</t>
  </si>
  <si>
    <t>REP customers</t>
  </si>
  <si>
    <t>Total customers</t>
  </si>
  <si>
    <t>Productivity</t>
  </si>
  <si>
    <t>Customers per employee</t>
  </si>
  <si>
    <t>Sales per employee</t>
  </si>
  <si>
    <t>kWh/employee</t>
  </si>
  <si>
    <t>F. Revenue breakdown</t>
  </si>
  <si>
    <t>Tariff / pass-through revenue</t>
  </si>
  <si>
    <t>IFRS 15 revenue</t>
  </si>
  <si>
    <t>Base electricity sales subtotal</t>
  </si>
  <si>
    <t>Pass-through revenue</t>
  </si>
  <si>
    <t>RES</t>
  </si>
  <si>
    <t>Tariff category revenue</t>
  </si>
  <si>
    <t>G. Other income breakdown</t>
  </si>
  <si>
    <t>Non-core and ancillary income</t>
  </si>
  <si>
    <t>Capital contribution - KPLC Last Mile / recovery from Last Mile customers</t>
  </si>
  <si>
    <t>H. Cost of sales / power purchase cost breakdown</t>
  </si>
  <si>
    <t>Power purchase economics</t>
  </si>
  <si>
    <t>Cost components</t>
  </si>
  <si>
    <t>Pass-through analysis</t>
  </si>
  <si>
    <t>Fuel cost charge / recovery</t>
  </si>
  <si>
    <t>Fuel cost incurred - explicit fuel-cost note/paragraph</t>
  </si>
  <si>
    <t>Fuel recovery surplus / (shortfall)</t>
  </si>
  <si>
    <t>Purchased energy by technology</t>
  </si>
  <si>
    <t>Geothermal purchases</t>
  </si>
  <si>
    <t>Hydro purchases</t>
  </si>
  <si>
    <t>Wind purchases</t>
  </si>
  <si>
    <t>Solar purchases</t>
  </si>
  <si>
    <t>Imports</t>
  </si>
  <si>
    <t>I. Operating expenses breakdown</t>
  </si>
  <si>
    <t>Network, commercial, admin and ECL</t>
  </si>
  <si>
    <t>Expense line</t>
  </si>
  <si>
    <t>Income statement</t>
  </si>
  <si>
    <t>KShs’m</t>
  </si>
  <si>
    <t>J. Income statement</t>
  </si>
  <si>
    <t>P&amp;L</t>
  </si>
  <si>
    <t>Net profit attributable to ordinary shareholders</t>
  </si>
  <si>
    <t>Basic and diluted EPS</t>
  </si>
  <si>
    <t>K. Operating segment financials</t>
  </si>
  <si>
    <t>Regional segment data from Note 5</t>
  </si>
  <si>
    <t>Segment revenue</t>
  </si>
  <si>
    <t>Segment energy purchases</t>
  </si>
  <si>
    <t>Segment operating expenses</t>
  </si>
  <si>
    <t>Segment other income</t>
  </si>
  <si>
    <t>Segment operating profit</t>
  </si>
  <si>
    <t>Segment assets</t>
  </si>
  <si>
    <t>Segment liabilities</t>
  </si>
  <si>
    <t>Segment capex incl. intangibles</t>
  </si>
  <si>
    <t>Segment depreciation/amortisation</t>
  </si>
  <si>
    <t>L. Balance sheet</t>
  </si>
  <si>
    <t>Statement of financial position</t>
  </si>
  <si>
    <t>Leasehold land / operating lease prepayments</t>
  </si>
  <si>
    <t>Intangible assets</t>
  </si>
  <si>
    <t>Retirement benefit asset</t>
  </si>
  <si>
    <t>Right-of-use asset</t>
  </si>
  <si>
    <t>Non-current trade and other receivables</t>
  </si>
  <si>
    <t>Current trade and other receivables</t>
  </si>
  <si>
    <t>Current income tax asset</t>
  </si>
  <si>
    <t>Short-term deposits</t>
  </si>
  <si>
    <t>Bank and cash balances</t>
  </si>
  <si>
    <t>Total assets</t>
  </si>
  <si>
    <t>Ordinary share capital</t>
  </si>
  <si>
    <t>Share premium</t>
  </si>
  <si>
    <t>Retained earnings</t>
  </si>
  <si>
    <t>Total equity</t>
  </si>
  <si>
    <t>Deferred income tax liability</t>
  </si>
  <si>
    <t>Deferred income - non-current</t>
  </si>
  <si>
    <t>Retirement benefit obligation</t>
  </si>
  <si>
    <t>Trade and other payables - non-current</t>
  </si>
  <si>
    <t>Lease liabilities - non-current</t>
  </si>
  <si>
    <t>Borrowings - non-current</t>
  </si>
  <si>
    <t>Preference shares</t>
  </si>
  <si>
    <t>Deferred income - current</t>
  </si>
  <si>
    <t>Current income tax payable</t>
  </si>
  <si>
    <t>Provisions</t>
  </si>
  <si>
    <t>Lease liabilities - current</t>
  </si>
  <si>
    <t>Borrowings - current</t>
  </si>
  <si>
    <t>Dividends payable</t>
  </si>
  <si>
    <t>Bank overdraft</t>
  </si>
  <si>
    <t>Total liabilities</t>
  </si>
  <si>
    <t>Balance sheet check</t>
  </si>
  <si>
    <t>M. Working capital schedule</t>
  </si>
  <si>
    <t>Receivables, inventory, payables</t>
  </si>
  <si>
    <t>Working capital</t>
  </si>
  <si>
    <t>Trade receivables / current receivables</t>
  </si>
  <si>
    <t>N. PPE, capex and depreciation</t>
  </si>
  <si>
    <t>Asset base and grid investment</t>
  </si>
  <si>
    <t>Asset base</t>
  </si>
  <si>
    <t>O. Borrowings and debt schedule</t>
  </si>
  <si>
    <t>Debt, leases and net debt</t>
  </si>
  <si>
    <t>Debt</t>
  </si>
  <si>
    <t>Lease liabilities</t>
  </si>
  <si>
    <t>P. Customer contributions / deferred revenue</t>
  </si>
  <si>
    <t>Deferred income and capital contributions</t>
  </si>
  <si>
    <t>Deferred income</t>
  </si>
  <si>
    <t>Total deferred income</t>
  </si>
  <si>
    <t>Amortisation</t>
  </si>
  <si>
    <t>Q. Tax schedule</t>
  </si>
  <si>
    <t>Tax expense, effective tax and tax balances</t>
  </si>
  <si>
    <t>Tax</t>
  </si>
  <si>
    <t>Effective tax rate</t>
  </si>
  <si>
    <t>R. Cash flow statement</t>
  </si>
  <si>
    <t>Cash generation, capex and financing</t>
  </si>
  <si>
    <t>Cash flow</t>
  </si>
  <si>
    <t>Cash generated from operations</t>
  </si>
  <si>
    <t>Income tax paid</t>
  </si>
  <si>
    <t>Interest received</t>
  </si>
  <si>
    <t>Gratuity paid</t>
  </si>
  <si>
    <t>Repayment of interest portion of lease liabilities</t>
  </si>
  <si>
    <t>Interest paid</t>
  </si>
  <si>
    <t>Net cash flows from operating activities</t>
  </si>
  <si>
    <t>Purchase of property and equipment</t>
  </si>
  <si>
    <t>Purchase of intangible assets</t>
  </si>
  <si>
    <t>Leasehold prepayment</t>
  </si>
  <si>
    <t>Proceeds from disposal of property and equipment</t>
  </si>
  <si>
    <t>Net cash flows from investing activities</t>
  </si>
  <si>
    <t>Repayment of borrowings</t>
  </si>
  <si>
    <t>Proceeds from borrowings</t>
  </si>
  <si>
    <t>Repayment of principal portion of lease liabilities</t>
  </si>
  <si>
    <t>Dividends paid to owners</t>
  </si>
  <si>
    <t>Net cash flows from financing activities</t>
  </si>
  <si>
    <t>Net increase / (decrease) in cash and cash equivalents</t>
  </si>
  <si>
    <t>Cash and cash equivalents at beginning of year</t>
  </si>
  <si>
    <t>Effect of foreign exchange changes on cash</t>
  </si>
  <si>
    <t>Cash and cash equivalents at end of year</t>
  </si>
  <si>
    <t>S. Dividends and share data</t>
  </si>
  <si>
    <t>Share capital, EPS and dividends</t>
  </si>
  <si>
    <t>Share data</t>
  </si>
  <si>
    <t>Implied ordinary shares outstanding</t>
  </si>
  <si>
    <t>Dividends</t>
  </si>
  <si>
    <t>Ordinary dividends paid/declared</t>
  </si>
  <si>
    <t>Dividend per share</t>
  </si>
  <si>
    <t>T. Ratio analysis</t>
  </si>
  <si>
    <t>Operational, profitability and leverage ratios</t>
  </si>
  <si>
    <t>Growth</t>
  </si>
  <si>
    <t>Revenue growth</t>
  </si>
  <si>
    <t>Unit sales growth</t>
  </si>
  <si>
    <t>Profitability</t>
  </si>
  <si>
    <t>Operating margin</t>
  </si>
  <si>
    <t>Returns</t>
  </si>
  <si>
    <t>Return on assets</t>
  </si>
  <si>
    <t>Return on equity</t>
  </si>
  <si>
    <t>Leverage</t>
  </si>
  <si>
    <t>Net debt / EBITDA proxy</t>
  </si>
  <si>
    <t>U. Reconciliation checks</t>
  </si>
  <si>
    <t>Internal data checks</t>
  </si>
  <si>
    <t>P&amp;L checks</t>
  </si>
  <si>
    <t>Gross profit check</t>
  </si>
  <si>
    <t>PBT check</t>
  </si>
  <si>
    <t>Balance sheet checks</t>
  </si>
  <si>
    <t>Cash flow checks</t>
  </si>
  <si>
    <t>Cash flow roll-forward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</si>
</sst>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[Red]\(#,##0.0\);\-"/>
    <numFmt numFmtId="165" formatCode="0.0%;[Red]\(0.0%\);\-"/>
    <numFmt numFmtId="166" formatCode="#,##0;[Red]\(#,##0\);\-"/>
    <numFmt numFmtId="167" formatCode="#,##0.00;[Red]\(#,##0.00\);\-"/>
    <numFmt numFmtId="168" formatCode="0.0\x;[Red]\(0.0\x\);\-"/>
    <numFmt numFmtId="169" formatCode="_-* #,##0.00_-;\-* #,##0.00_-;_-* &quot;-&quot;??_-;_-@_-"/>
    <numFmt numFmtId="170" formatCode="dd\-mmm\-yyyy"/>
    <numFmt numFmtId="171" formatCode="_-* #,##0.0_-;\-* #,##0.0_-;_-* &quot;-&quot;??_-;_-@_-"/>
    <numFmt numFmtId="172" formatCode="dd\ mmm\ yyyy"/>
    <numFmt numFmtId="173" formatCode="yyyy\A"/>
    <numFmt numFmtId="174" formatCode="0.00\x"/>
    <numFmt numFmtId="175" formatCode="[$-409]dd\-mmm\-yy;@"/>
  </numFmts>
  <fonts count="53">
    <font>
      <sz val="11"/>
      <name val="Carlito"/>
    </font>
    <font>
      <b/>
      <sz val="11"/>
      <color rgb="FF003A70"/>
      <name val="Carlito"/>
    </font>
    <font>
      <sz val="9"/>
      <color rgb="FF1F2933"/>
      <name val="Carlito"/>
    </font>
    <font>
      <sz val="9"/>
      <color rgb="FF005AA9"/>
      <name val="Carlito"/>
    </font>
    <font>
      <b/>
      <sz val="11"/>
      <color rgb="FFFFFFFF"/>
      <name val="Carlito"/>
    </font>
    <font>
      <sz val="9"/>
      <color rgb="FF000000"/>
      <name val="Carlito"/>
    </font>
    <font>
      <sz val="11"/>
      <name val="Carlito"/>
    </font>
    <font>
      <b/>
      <sz val="13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0"/>
      <color rgb="FF002366"/>
      <name val="Abadi"/>
    </font>
    <font>
      <sz val="10"/>
      <color rgb="FF002366"/>
      <name val="Abadi"/>
    </font>
    <font>
      <b/>
      <sz val="10"/>
      <color rgb="FFFFFFFF"/>
      <name val="Arial"/>
    </font>
    <font>
      <sz val="10"/>
      <name val="Arial"/>
    </font>
    <font>
      <b/>
      <sz val="10"/>
      <color rgb="FF000000"/>
      <name val="Arial"/>
    </font>
    <font>
      <b/>
      <sz val="10"/>
      <name val="Arial"/>
    </font>
    <font>
      <i/>
      <sz val="10"/>
      <color rgb="FF666666"/>
      <name val="Arial"/>
    </font>
    <font>
      <b/>
      <sz val="15"/>
      <color rgb="FFFFFFFF"/>
      <name val="Arial"/>
    </font>
    <font>
      <sz val="11"/>
      <name val="Calibri"/>
    </font>
    <font>
      <sz val="9"/>
      <color rgb="FF1F2933"/>
      <name val="Calibri"/>
    </font>
    <font>
      <sz val="9"/>
      <color rgb="FF008000"/>
      <name val="Calibri"/>
    </font>
    <font>
      <b/>
      <sz val="9"/>
      <color rgb="FF1F2933"/>
      <name val="Calibri"/>
    </font>
    <font>
      <b/>
      <sz val="9"/>
      <color rgb="FF008000"/>
      <name val="Calibri"/>
    </font>
    <font>
      <sz val="10"/>
      <name val="Aptos"/>
    </font>
    <font>
      <b/>
      <sz val="11"/>
      <name val="Carlito"/>
    </font>
    <font>
      <b/>
      <sz val="10"/>
      <color rgb="FFFFFFFF"/>
      <name val="Aptos"/>
    </font>
    <font>
      <b/>
      <sz val="10"/>
      <color rgb="FF1F1F1F"/>
      <name val="Aptos"/>
    </font>
    <font>
      <sz val="10"/>
      <color rgb="FF008000"/>
      <name val="Aptos"/>
    </font>
    <font>
      <b/>
      <sz val="10"/>
      <color rgb="FF008000"/>
      <name val="Aptos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1"/>
      <color rgb="FFFA7D00"/>
      <name val="Calibri"/>
      <scheme val="minor"/>
    </font>
    <font>
      <sz val="10"/>
      <color rgb="FF002366"/>
      <name val="Abadi"/>
      <family val="2"/>
    </font>
    <font>
      <b/>
      <sz val="10"/>
      <color rgb="FF002366"/>
      <name val="Abadi"/>
      <family val="2"/>
    </font>
    <font>
      <sz val="10"/>
      <color rgb="FF0070C0"/>
      <name val="Abadi"/>
      <family val="2"/>
    </font>
    <font>
      <b/>
      <sz val="9"/>
      <color rgb="FF1F2933"/>
      <name val="Carlito"/>
    </font>
    <font>
      <b/>
      <sz val="9"/>
      <color rgb="FF005AA9"/>
      <name val="Carlito"/>
    </font>
    <font>
      <i/>
      <sz val="9"/>
      <color rgb="FF005AA9"/>
      <name val="Carlito"/>
    </font>
    <font>
      <i/>
      <sz val="9"/>
      <color rgb="FF1F2933"/>
      <name val="Carlito"/>
    </font>
    <font>
      <i/>
      <sz val="9"/>
      <color theme="7"/>
      <name val="Carlito"/>
    </font>
    <font>
      <b/>
      <sz val="10"/>
      <name val="Aptos"/>
    </font>
    <font>
      <i/>
      <sz val="10"/>
      <name val="Aptos"/>
    </font>
    <font>
      <i/>
      <sz val="11"/>
      <name val="Carlito"/>
    </font>
    <font>
      <i/>
      <sz val="10"/>
      <color rgb="FF008000"/>
      <name val="Aptos"/>
    </font>
    <font>
      <i/>
      <sz val="10"/>
      <color rgb="FF000000"/>
      <name val="Aptos"/>
    </font>
    <font>
      <b/>
      <sz val="10"/>
      <name val="Carlito"/>
    </font>
    <font>
      <b/>
      <sz val="11"/>
      <color rgb="FF00B0F0"/>
      <name val="Calibri"/>
    </font>
    <font>
      <b/>
      <sz val="10"/>
      <color theme="1"/>
      <name val="Aptos"/>
    </font>
    <font>
      <b/>
      <sz val="10"/>
      <color rgb="FF00B0F0"/>
      <name val="Aptos"/>
    </font>
    <font>
      <i/>
      <sz val="11"/>
      <color rgb="FF3F3F76"/>
      <name val="Calibri"/>
    </font>
    <font>
      <b/>
      <sz val="9"/>
      <color rgb="FFFFFFFF"/>
      <name val="Aptos"/>
    </font>
    <font>
      <b/>
      <sz val="10"/>
      <color rgb="FF00B050"/>
      <name val="Aptos"/>
    </font>
  </fonts>
  <fills count="21">
    <fill>
      <patternFill patternType="none"/>
    </fill>
    <fill>
      <patternFill patternType="gray125"/>
    </fill>
    <fill>
      <patternFill patternType="solid">
        <fgColor rgb="FF003A70"/>
      </patternFill>
    </fill>
    <fill>
      <patternFill patternType="solid">
        <fgColor rgb="FFF7FBFF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3F6FA"/>
      </patternFill>
    </fill>
    <fill>
      <patternFill patternType="solid">
        <fgColor rgb="FFF2F4F7"/>
      </patternFill>
    </fill>
    <fill>
      <patternFill patternType="solid">
        <fgColor rgb="FFE9EEF6"/>
      </patternFill>
    </fill>
    <fill>
      <patternFill patternType="solid">
        <fgColor rgb="FF0B2E59"/>
      </patternFill>
    </fill>
    <fill>
      <patternFill patternType="solid">
        <fgColor rgb="FF1F4E78"/>
      </patternFill>
    </fill>
    <fill>
      <patternFill patternType="solid">
        <fgColor rgb="FF404040"/>
      </patternFill>
    </fill>
    <fill>
      <patternFill patternType="solid">
        <fgColor rgb="FFD9EAF7"/>
      </patternFill>
    </fill>
    <fill>
      <patternFill patternType="solid">
        <fgColor rgb="FFB4C6E7"/>
      </patternFill>
    </fill>
    <fill>
      <patternFill patternType="solid">
        <fgColor rgb="FFFFF2CC"/>
      </patternFill>
    </fill>
    <fill>
      <patternFill patternType="solid">
        <fgColor rgb="FFF8F9FA"/>
      </patternFill>
    </fill>
    <fill>
      <patternFill patternType="solid">
        <fgColor rgb="FFFFE8E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002366"/>
      </top>
      <bottom style="thin">
        <color rgb="FF00236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rgb="FF002366"/>
      </top>
      <bottom style="thin">
        <color rgb="FF002366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medium">
        <color rgb="FF000000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3F3F3F"/>
      </right>
      <top style="thin">
        <color rgb="FF3F3F3F"/>
      </top>
      <bottom style="medium">
        <color rgb="FF000000"/>
      </bottom>
      <diagonal/>
    </border>
    <border>
      <left style="thin">
        <color rgb="FF3F3F3F"/>
      </left>
      <right style="medium">
        <color rgb="FF000000"/>
      </right>
      <top style="thin">
        <color rgb="FF3F3F3F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3F3F3F"/>
      </left>
      <right style="medium">
        <color rgb="FF000000"/>
      </right>
      <top style="thin">
        <color rgb="FF3F3F3F"/>
      </top>
      <bottom style="thin">
        <color rgb="FF3F3F3F"/>
      </bottom>
      <diagonal/>
    </border>
    <border>
      <left/>
      <right style="medium">
        <color rgb="FF000000"/>
      </right>
      <top/>
      <bottom/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3F3F3F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rgb="FF000000"/>
      </right>
      <top/>
      <bottom style="thin">
        <color rgb="FF3F3F3F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7" fillId="0" borderId="1" applyNumberFormat="0" applyFill="0" applyAlignment="0" applyProtection="0"/>
    <xf numFmtId="0" fontId="8" fillId="5" borderId="2" applyNumberFormat="0" applyAlignment="0" applyProtection="0"/>
    <xf numFmtId="0" fontId="9" fillId="4" borderId="3" applyNumberFormat="0" applyAlignment="0" applyProtection="0"/>
    <xf numFmtId="0" fontId="32" fillId="4" borderId="2" applyNumberFormat="0" applyAlignment="0" applyProtection="0"/>
  </cellStyleXfs>
  <cellXfs count="205">
    <xf numFmtId="0" fontId="0" fillId="0" borderId="0" xfId="0"/>
    <xf numFmtId="0" fontId="0" fillId="0" borderId="0" xfId="0" applyAlignment="1">
      <alignment horizontal="right"/>
    </xf>
    <xf numFmtId="171" fontId="8" fillId="5" borderId="2" xfId="3" applyNumberFormat="1" applyAlignment="1">
      <alignment horizontal="right"/>
    </xf>
    <xf numFmtId="172" fontId="8" fillId="5" borderId="2" xfId="3" applyNumberFormat="1"/>
    <xf numFmtId="173" fontId="9" fillId="4" borderId="3" xfId="4" applyNumberFormat="1" applyAlignment="1">
      <alignment horizontal="center"/>
    </xf>
    <xf numFmtId="0" fontId="4" fillId="2" borderId="6" xfId="0" applyNumberFormat="1" applyFont="1" applyFill="1" applyBorder="1" applyAlignment="1">
      <alignment horizontal="left" vertical="center" wrapText="1"/>
    </xf>
    <xf numFmtId="0" fontId="4" fillId="2" borderId="7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vertical="top" wrapText="1"/>
    </xf>
    <xf numFmtId="0" fontId="2" fillId="6" borderId="7" xfId="0" applyNumberFormat="1" applyFont="1" applyFill="1" applyBorder="1" applyAlignment="1">
      <alignment vertical="top" wrapText="1"/>
    </xf>
    <xf numFmtId="0" fontId="4" fillId="6" borderId="10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8" fillId="5" borderId="5" xfId="3" applyBorder="1" applyAlignment="1">
      <alignment horizontal="right" wrapText="1"/>
    </xf>
    <xf numFmtId="0" fontId="8" fillId="5" borderId="5" xfId="3" applyBorder="1"/>
    <xf numFmtId="169" fontId="8" fillId="5" borderId="5" xfId="3" applyNumberFormat="1" applyBorder="1" applyAlignment="1">
      <alignment horizontal="right"/>
    </xf>
    <xf numFmtId="170" fontId="8" fillId="5" borderId="5" xfId="3" applyNumberFormat="1" applyBorder="1"/>
    <xf numFmtId="15" fontId="8" fillId="5" borderId="5" xfId="3" applyNumberFormat="1" applyBorder="1" applyAlignment="1">
      <alignment horizontal="right"/>
    </xf>
    <xf numFmtId="172" fontId="8" fillId="5" borderId="8" xfId="3" applyNumberFormat="1" applyBorder="1"/>
    <xf numFmtId="0" fontId="7" fillId="0" borderId="9" xfId="2" applyBorder="1" applyAlignment="1">
      <alignment wrapText="1"/>
    </xf>
    <xf numFmtId="0" fontId="7" fillId="6" borderId="10" xfId="2" applyFill="1" applyBorder="1"/>
    <xf numFmtId="173" fontId="9" fillId="4" borderId="11" xfId="4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6" borderId="12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vertical="top" wrapText="1"/>
    </xf>
    <xf numFmtId="165" fontId="3" fillId="0" borderId="12" xfId="0" applyNumberFormat="1" applyFont="1" applyFill="1" applyBorder="1" applyAlignment="1">
      <alignment horizontal="right" vertical="top"/>
    </xf>
    <xf numFmtId="0" fontId="4" fillId="2" borderId="12" xfId="0" applyNumberFormat="1" applyFont="1" applyFill="1" applyBorder="1" applyAlignment="1">
      <alignment horizontal="left" vertical="center" wrapText="1"/>
    </xf>
    <xf numFmtId="0" fontId="4" fillId="2" borderId="12" xfId="0" applyNumberFormat="1" applyFont="1" applyFill="1" applyBorder="1" applyAlignment="1">
      <alignment horizontal="left" vertical="center"/>
    </xf>
    <xf numFmtId="0" fontId="2" fillId="6" borderId="12" xfId="0" applyNumberFormat="1" applyFont="1" applyFill="1" applyBorder="1" applyAlignment="1">
      <alignment vertical="top" wrapText="1"/>
    </xf>
    <xf numFmtId="166" fontId="3" fillId="0" borderId="12" xfId="0" applyNumberFormat="1" applyFont="1" applyFill="1" applyBorder="1" applyAlignment="1">
      <alignment horizontal="right" vertical="top"/>
    </xf>
    <xf numFmtId="167" fontId="3" fillId="0" borderId="12" xfId="0" applyNumberFormat="1" applyFont="1" applyFill="1" applyBorder="1" applyAlignment="1">
      <alignment horizontal="right" vertical="top"/>
    </xf>
    <xf numFmtId="0" fontId="2" fillId="3" borderId="12" xfId="0" applyNumberFormat="1" applyFont="1" applyFill="1" applyBorder="1" applyAlignment="1">
      <alignment vertical="top" wrapText="1"/>
    </xf>
    <xf numFmtId="164" fontId="3" fillId="0" borderId="12" xfId="0" applyNumberFormat="1" applyFont="1" applyFill="1" applyBorder="1" applyAlignment="1">
      <alignment horizontal="right" vertical="top"/>
    </xf>
    <xf numFmtId="164" fontId="5" fillId="0" borderId="12" xfId="0" applyNumberFormat="1" applyFont="1" applyFill="1" applyBorder="1" applyAlignment="1">
      <alignment horizontal="right" vertical="top"/>
    </xf>
    <xf numFmtId="167" fontId="5" fillId="0" borderId="12" xfId="0" applyNumberFormat="1" applyFont="1" applyFill="1" applyBorder="1" applyAlignment="1">
      <alignment horizontal="right" vertical="top"/>
    </xf>
    <xf numFmtId="165" fontId="5" fillId="0" borderId="12" xfId="0" applyNumberFormat="1" applyFont="1" applyFill="1" applyBorder="1" applyAlignment="1">
      <alignment horizontal="right" vertical="top"/>
    </xf>
    <xf numFmtId="168" fontId="5" fillId="0" borderId="12" xfId="0" applyNumberFormat="1" applyFont="1" applyFill="1" applyBorder="1" applyAlignment="1">
      <alignment horizontal="right" vertical="top"/>
    </xf>
    <xf numFmtId="0" fontId="13" fillId="0" borderId="12" xfId="0" applyNumberFormat="1" applyFont="1" applyFill="1" applyBorder="1"/>
    <xf numFmtId="0" fontId="14" fillId="15" borderId="12" xfId="0" applyNumberFormat="1" applyFont="1" applyFill="1" applyBorder="1" applyAlignment="1">
      <alignment horizontal="center" vertical="center" wrapText="1"/>
    </xf>
    <xf numFmtId="0" fontId="13" fillId="0" borderId="12" xfId="0" applyNumberFormat="1" applyFont="1" applyFill="1" applyBorder="1" applyAlignment="1">
      <alignment wrapText="1"/>
    </xf>
    <xf numFmtId="164" fontId="13" fillId="0" borderId="12" xfId="0" applyNumberFormat="1" applyFont="1" applyFill="1" applyBorder="1" applyAlignment="1">
      <alignment horizontal="right" wrapText="1"/>
    </xf>
    <xf numFmtId="165" fontId="13" fillId="0" borderId="12" xfId="0" applyNumberFormat="1" applyFont="1" applyFill="1" applyBorder="1" applyAlignment="1">
      <alignment horizontal="right" wrapText="1"/>
    </xf>
    <xf numFmtId="0" fontId="15" fillId="9" borderId="12" xfId="0" applyNumberFormat="1" applyFont="1" applyFill="1" applyBorder="1" applyAlignment="1">
      <alignment wrapText="1"/>
    </xf>
    <xf numFmtId="165" fontId="15" fillId="9" borderId="12" xfId="0" applyNumberFormat="1" applyFont="1" applyFill="1" applyBorder="1" applyAlignment="1">
      <alignment horizontal="right" wrapText="1"/>
    </xf>
    <xf numFmtId="164" fontId="15" fillId="9" borderId="12" xfId="0" applyNumberFormat="1" applyFont="1" applyFill="1" applyBorder="1" applyAlignment="1">
      <alignment horizontal="right" wrapText="1"/>
    </xf>
    <xf numFmtId="0" fontId="18" fillId="0" borderId="12" xfId="0" applyFont="1" applyFill="1" applyBorder="1" applyAlignment="1"/>
    <xf numFmtId="0" fontId="19" fillId="10" borderId="12" xfId="0" applyFont="1" applyFill="1" applyBorder="1" applyAlignment="1"/>
    <xf numFmtId="0" fontId="18" fillId="10" borderId="12" xfId="0" applyFont="1" applyFill="1" applyBorder="1" applyAlignment="1"/>
    <xf numFmtId="3" fontId="20" fillId="10" borderId="12" xfId="0" applyNumberFormat="1" applyFont="1" applyFill="1" applyBorder="1" applyAlignment="1"/>
    <xf numFmtId="10" fontId="19" fillId="10" borderId="12" xfId="0" applyNumberFormat="1" applyFont="1" applyFill="1" applyBorder="1" applyAlignment="1"/>
    <xf numFmtId="0" fontId="19" fillId="0" borderId="12" xfId="0" applyFont="1" applyFill="1" applyBorder="1" applyAlignment="1"/>
    <xf numFmtId="3" fontId="20" fillId="0" borderId="12" xfId="0" applyNumberFormat="1" applyFont="1" applyFill="1" applyBorder="1" applyAlignment="1"/>
    <xf numFmtId="10" fontId="19" fillId="0" borderId="12" xfId="0" applyNumberFormat="1" applyFont="1" applyFill="1" applyBorder="1" applyAlignment="1"/>
    <xf numFmtId="0" fontId="21" fillId="11" borderId="12" xfId="0" applyFont="1" applyFill="1" applyBorder="1" applyAlignment="1"/>
    <xf numFmtId="0" fontId="18" fillId="11" borderId="12" xfId="0" applyFont="1" applyFill="1" applyBorder="1" applyAlignment="1"/>
    <xf numFmtId="3" fontId="22" fillId="11" borderId="12" xfId="0" applyNumberFormat="1" applyFont="1" applyFill="1" applyBorder="1" applyAlignment="1"/>
    <xf numFmtId="10" fontId="21" fillId="11" borderId="12" xfId="0" applyNumberFormat="1" applyFont="1" applyFill="1" applyBorder="1" applyAlignment="1"/>
    <xf numFmtId="0" fontId="23" fillId="0" borderId="12" xfId="0" applyNumberFormat="1" applyFont="1" applyFill="1" applyBorder="1" applyAlignment="1">
      <alignment horizontal="left" wrapText="1"/>
    </xf>
    <xf numFmtId="0" fontId="27" fillId="0" borderId="12" xfId="0" applyNumberFormat="1" applyFont="1" applyFill="1" applyBorder="1" applyAlignment="1">
      <alignment horizontal="right" wrapText="1"/>
    </xf>
    <xf numFmtId="0" fontId="29" fillId="0" borderId="12" xfId="0" applyNumberFormat="1" applyFont="1" applyFill="1" applyBorder="1" applyAlignment="1">
      <alignment horizontal="right" wrapText="1"/>
    </xf>
    <xf numFmtId="0" fontId="23" fillId="0" borderId="12" xfId="0" applyNumberFormat="1" applyFont="1" applyFill="1" applyBorder="1" applyAlignment="1">
      <alignment wrapText="1"/>
    </xf>
    <xf numFmtId="0" fontId="25" fillId="14" borderId="12" xfId="0" applyNumberFormat="1" applyFont="1" applyFill="1" applyBorder="1" applyAlignment="1">
      <alignment horizontal="center" wrapText="1"/>
    </xf>
    <xf numFmtId="0" fontId="25" fillId="15" borderId="12" xfId="0" applyNumberFormat="1" applyFont="1" applyFill="1" applyBorder="1" applyAlignment="1">
      <alignment horizontal="center" wrapText="1"/>
    </xf>
    <xf numFmtId="49" fontId="28" fillId="15" borderId="12" xfId="0" applyNumberFormat="1" applyFont="1" applyFill="1" applyBorder="1" applyAlignment="1">
      <alignment horizontal="center" wrapText="1"/>
    </xf>
    <xf numFmtId="0" fontId="28" fillId="15" borderId="12" xfId="0" applyNumberFormat="1" applyFont="1" applyFill="1" applyBorder="1" applyAlignment="1">
      <alignment horizontal="center" wrapText="1"/>
    </xf>
    <xf numFmtId="167" fontId="28" fillId="15" borderId="12" xfId="0" applyNumberFormat="1" applyFont="1" applyFill="1" applyBorder="1" applyAlignment="1">
      <alignment horizontal="center" wrapText="1"/>
    </xf>
    <xf numFmtId="0" fontId="30" fillId="15" borderId="12" xfId="0" applyNumberFormat="1" applyFont="1" applyFill="1" applyBorder="1" applyAlignment="1">
      <alignment horizontal="center" wrapText="1"/>
    </xf>
    <xf numFmtId="165" fontId="30" fillId="15" borderId="12" xfId="0" applyNumberFormat="1" applyFont="1" applyFill="1" applyBorder="1" applyAlignment="1">
      <alignment horizontal="center" wrapText="1"/>
    </xf>
    <xf numFmtId="0" fontId="23" fillId="18" borderId="12" xfId="0" applyNumberFormat="1" applyFont="1" applyFill="1" applyBorder="1" applyAlignment="1">
      <alignment horizontal="left" wrapText="1"/>
    </xf>
    <xf numFmtId="167" fontId="27" fillId="18" borderId="12" xfId="0" applyNumberFormat="1" applyFont="1" applyFill="1" applyBorder="1" applyAlignment="1">
      <alignment horizontal="right" wrapText="1"/>
    </xf>
    <xf numFmtId="165" fontId="27" fillId="18" borderId="12" xfId="0" applyNumberFormat="1" applyFont="1" applyFill="1" applyBorder="1" applyAlignment="1">
      <alignment horizontal="right" wrapText="1"/>
    </xf>
    <xf numFmtId="0" fontId="25" fillId="12" borderId="12" xfId="0" applyNumberFormat="1" applyFont="1" applyFill="1" applyBorder="1" applyAlignment="1">
      <alignment horizontal="left" wrapText="1"/>
    </xf>
    <xf numFmtId="0" fontId="28" fillId="12" borderId="12" xfId="0" applyNumberFormat="1" applyFont="1" applyFill="1" applyBorder="1" applyAlignment="1">
      <alignment horizontal="right" wrapText="1"/>
    </xf>
    <xf numFmtId="0" fontId="30" fillId="12" borderId="12" xfId="0" applyNumberFormat="1" applyFont="1" applyFill="1" applyBorder="1" applyAlignment="1">
      <alignment horizontal="right" wrapText="1"/>
    </xf>
    <xf numFmtId="0" fontId="26" fillId="16" borderId="12" xfId="0" applyNumberFormat="1" applyFont="1" applyFill="1" applyBorder="1" applyAlignment="1">
      <alignment horizontal="left" wrapText="1"/>
    </xf>
    <xf numFmtId="0" fontId="28" fillId="16" borderId="12" xfId="0" applyNumberFormat="1" applyFont="1" applyFill="1" applyBorder="1" applyAlignment="1">
      <alignment horizontal="right" wrapText="1"/>
    </xf>
    <xf numFmtId="0" fontId="30" fillId="16" borderId="12" xfId="0" applyNumberFormat="1" applyFont="1" applyFill="1" applyBorder="1" applyAlignment="1">
      <alignment horizontal="right" wrapText="1"/>
    </xf>
    <xf numFmtId="0" fontId="26" fillId="16" borderId="12" xfId="0" applyNumberFormat="1" applyFont="1" applyFill="1" applyBorder="1" applyAlignment="1">
      <alignment wrapText="1"/>
    </xf>
    <xf numFmtId="0" fontId="25" fillId="13" borderId="12" xfId="0" applyNumberFormat="1" applyFont="1" applyFill="1" applyBorder="1" applyAlignment="1">
      <alignment horizontal="left" wrapText="1"/>
    </xf>
    <xf numFmtId="0" fontId="28" fillId="13" borderId="12" xfId="0" applyNumberFormat="1" applyFont="1" applyFill="1" applyBorder="1" applyAlignment="1">
      <alignment horizontal="right" wrapText="1"/>
    </xf>
    <xf numFmtId="0" fontId="30" fillId="13" borderId="12" xfId="0" applyNumberFormat="1" applyFont="1" applyFill="1" applyBorder="1" applyAlignment="1">
      <alignment horizontal="right" wrapText="1"/>
    </xf>
    <xf numFmtId="0" fontId="25" fillId="13" borderId="12" xfId="0" applyNumberFormat="1" applyFont="1" applyFill="1" applyBorder="1" applyAlignment="1">
      <alignment horizontal="center" wrapText="1"/>
    </xf>
    <xf numFmtId="167" fontId="31" fillId="17" borderId="12" xfId="0" applyNumberFormat="1" applyFont="1" applyFill="1" applyBorder="1" applyAlignment="1">
      <alignment horizontal="right" wrapText="1"/>
    </xf>
    <xf numFmtId="167" fontId="27" fillId="0" borderId="12" xfId="0" applyNumberFormat="1" applyFont="1" applyFill="1" applyBorder="1" applyAlignment="1">
      <alignment horizontal="right" wrapText="1"/>
    </xf>
    <xf numFmtId="167" fontId="29" fillId="0" borderId="12" xfId="0" applyNumberFormat="1" applyFont="1" applyFill="1" applyBorder="1" applyAlignment="1">
      <alignment horizontal="right" wrapText="1"/>
    </xf>
    <xf numFmtId="164" fontId="29" fillId="0" borderId="12" xfId="0" applyNumberFormat="1" applyFont="1" applyFill="1" applyBorder="1" applyAlignment="1">
      <alignment horizontal="right" wrapText="1"/>
    </xf>
    <xf numFmtId="164" fontId="27" fillId="0" borderId="12" xfId="0" applyNumberFormat="1" applyFont="1" applyFill="1" applyBorder="1" applyAlignment="1">
      <alignment horizontal="right" wrapText="1"/>
    </xf>
    <xf numFmtId="165" fontId="31" fillId="17" borderId="12" xfId="0" applyNumberFormat="1" applyFont="1" applyFill="1" applyBorder="1" applyAlignment="1">
      <alignment horizontal="right" wrapText="1"/>
    </xf>
    <xf numFmtId="165" fontId="27" fillId="0" borderId="12" xfId="0" applyNumberFormat="1" applyFont="1" applyFill="1" applyBorder="1" applyAlignment="1">
      <alignment horizontal="right" wrapText="1"/>
    </xf>
    <xf numFmtId="165" fontId="29" fillId="0" borderId="12" xfId="0" applyNumberFormat="1" applyFont="1" applyFill="1" applyBorder="1" applyAlignment="1">
      <alignment horizontal="right" wrapText="1"/>
    </xf>
    <xf numFmtId="168" fontId="31" fillId="17" borderId="12" xfId="0" applyNumberFormat="1" applyFont="1" applyFill="1" applyBorder="1" applyAlignment="1">
      <alignment horizontal="right" wrapText="1"/>
    </xf>
    <xf numFmtId="168" fontId="27" fillId="0" borderId="12" xfId="0" applyNumberFormat="1" applyFont="1" applyFill="1" applyBorder="1" applyAlignment="1">
      <alignment horizontal="right" wrapText="1"/>
    </xf>
    <xf numFmtId="168" fontId="29" fillId="0" borderId="12" xfId="0" applyNumberFormat="1" applyFont="1" applyFill="1" applyBorder="1" applyAlignment="1">
      <alignment horizontal="right" wrapText="1"/>
    </xf>
    <xf numFmtId="174" fontId="23" fillId="0" borderId="12" xfId="0" applyNumberFormat="1" applyFont="1" applyFill="1" applyBorder="1" applyAlignment="1">
      <alignment horizontal="left" wrapText="1"/>
    </xf>
    <xf numFmtId="174" fontId="27" fillId="0" borderId="12" xfId="0" applyNumberFormat="1" applyFont="1" applyFill="1" applyBorder="1" applyAlignment="1">
      <alignment horizontal="right" wrapText="1"/>
    </xf>
    <xf numFmtId="0" fontId="34" fillId="19" borderId="4" xfId="0" applyFont="1" applyFill="1" applyBorder="1" applyAlignment="1">
      <alignment horizontal="left" vertical="top" wrapText="1"/>
    </xf>
    <xf numFmtId="0" fontId="33" fillId="19" borderId="4" xfId="0" applyFont="1" applyFill="1" applyBorder="1" applyAlignment="1">
      <alignment horizontal="right"/>
    </xf>
    <xf numFmtId="0" fontId="33" fillId="19" borderId="4" xfId="0" applyFont="1" applyFill="1" applyBorder="1" applyAlignment="1">
      <alignment horizontal="left"/>
    </xf>
    <xf numFmtId="9" fontId="33" fillId="19" borderId="4" xfId="1" applyFont="1" applyFill="1" applyBorder="1" applyAlignment="1">
      <alignment horizontal="left"/>
    </xf>
    <xf numFmtId="0" fontId="35" fillId="19" borderId="4" xfId="0" applyFont="1" applyFill="1" applyBorder="1" applyAlignment="1">
      <alignment horizontal="left"/>
    </xf>
    <xf numFmtId="0" fontId="33" fillId="19" borderId="13" xfId="0" applyFont="1" applyFill="1" applyBorder="1" applyAlignment="1">
      <alignment horizontal="left"/>
    </xf>
    <xf numFmtId="0" fontId="33" fillId="19" borderId="0" xfId="0" applyFont="1" applyFill="1" applyAlignment="1">
      <alignment horizontal="left"/>
    </xf>
    <xf numFmtId="0" fontId="10" fillId="19" borderId="4" xfId="0" applyFont="1" applyFill="1" applyBorder="1" applyAlignment="1">
      <alignment horizontal="left" vertical="top" wrapText="1"/>
    </xf>
    <xf numFmtId="0" fontId="0" fillId="0" borderId="12" xfId="0" applyBorder="1"/>
    <xf numFmtId="172" fontId="8" fillId="5" borderId="14" xfId="3" applyNumberFormat="1" applyBorder="1"/>
    <xf numFmtId="173" fontId="9" fillId="4" borderId="15" xfId="4" applyNumberFormat="1" applyBorder="1" applyAlignment="1">
      <alignment horizontal="center"/>
    </xf>
    <xf numFmtId="172" fontId="8" fillId="5" borderId="16" xfId="3" applyNumberFormat="1" applyBorder="1"/>
    <xf numFmtId="173" fontId="9" fillId="4" borderId="17" xfId="4" applyNumberFormat="1" applyBorder="1" applyAlignment="1">
      <alignment horizontal="center"/>
    </xf>
    <xf numFmtId="0" fontId="36" fillId="6" borderId="12" xfId="0" applyNumberFormat="1" applyFont="1" applyFill="1" applyBorder="1" applyAlignment="1">
      <alignment vertical="top" wrapText="1"/>
    </xf>
    <xf numFmtId="166" fontId="37" fillId="0" borderId="12" xfId="0" applyNumberFormat="1" applyFont="1" applyFill="1" applyBorder="1" applyAlignment="1">
      <alignment horizontal="right" vertical="top"/>
    </xf>
    <xf numFmtId="10" fontId="38" fillId="0" borderId="12" xfId="1" applyNumberFormat="1" applyFont="1" applyFill="1" applyBorder="1" applyAlignment="1">
      <alignment horizontal="right" vertical="top"/>
    </xf>
    <xf numFmtId="0" fontId="39" fillId="6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4" fillId="0" borderId="12" xfId="0" applyFont="1" applyBorder="1"/>
    <xf numFmtId="10" fontId="40" fillId="0" borderId="12" xfId="1" applyNumberFormat="1" applyFont="1" applyFill="1" applyBorder="1" applyAlignment="1">
      <alignment horizontal="right" vertical="top"/>
    </xf>
    <xf numFmtId="167" fontId="37" fillId="0" borderId="12" xfId="0" applyNumberFormat="1" applyFont="1" applyFill="1" applyBorder="1" applyAlignment="1">
      <alignment horizontal="right" vertical="top"/>
    </xf>
    <xf numFmtId="166" fontId="0" fillId="0" borderId="0" xfId="0" applyNumberFormat="1"/>
    <xf numFmtId="0" fontId="36" fillId="3" borderId="12" xfId="0" applyNumberFormat="1" applyFont="1" applyFill="1" applyBorder="1" applyAlignment="1">
      <alignment vertical="top" wrapText="1"/>
    </xf>
    <xf numFmtId="166" fontId="24" fillId="0" borderId="0" xfId="0" applyNumberFormat="1" applyFont="1"/>
    <xf numFmtId="0" fontId="41" fillId="0" borderId="12" xfId="0" applyNumberFormat="1" applyFont="1" applyFill="1" applyBorder="1" applyAlignment="1">
      <alignment horizontal="left" wrapText="1"/>
    </xf>
    <xf numFmtId="164" fontId="28" fillId="0" borderId="12" xfId="0" applyNumberFormat="1" applyFont="1" applyFill="1" applyBorder="1" applyAlignment="1">
      <alignment horizontal="right" wrapText="1"/>
    </xf>
    <xf numFmtId="164" fontId="30" fillId="0" borderId="12" xfId="0" applyNumberFormat="1" applyFont="1" applyFill="1" applyBorder="1" applyAlignment="1">
      <alignment horizontal="right" wrapText="1"/>
    </xf>
    <xf numFmtId="0" fontId="41" fillId="0" borderId="12" xfId="0" applyNumberFormat="1" applyFont="1" applyFill="1" applyBorder="1" applyAlignment="1">
      <alignment wrapText="1"/>
    </xf>
    <xf numFmtId="0" fontId="42" fillId="0" borderId="12" xfId="0" applyNumberFormat="1" applyFont="1" applyFill="1" applyBorder="1" applyAlignment="1">
      <alignment horizontal="left" wrapText="1"/>
    </xf>
    <xf numFmtId="0" fontId="43" fillId="0" borderId="0" xfId="0" applyFont="1"/>
    <xf numFmtId="165" fontId="44" fillId="0" borderId="12" xfId="0" applyNumberFormat="1" applyFont="1" applyFill="1" applyBorder="1" applyAlignment="1">
      <alignment horizontal="right" wrapText="1"/>
    </xf>
    <xf numFmtId="165" fontId="45" fillId="0" borderId="12" xfId="0" applyNumberFormat="1" applyFont="1" applyFill="1" applyBorder="1" applyAlignment="1">
      <alignment horizontal="right" wrapText="1"/>
    </xf>
    <xf numFmtId="0" fontId="42" fillId="0" borderId="12" xfId="0" applyNumberFormat="1" applyFont="1" applyFill="1" applyBorder="1" applyAlignment="1">
      <alignment wrapText="1"/>
    </xf>
    <xf numFmtId="0" fontId="42" fillId="0" borderId="12" xfId="0" applyNumberFormat="1" applyFont="1" applyFill="1" applyBorder="1" applyAlignment="1">
      <alignment horizontal="right" wrapText="1"/>
    </xf>
    <xf numFmtId="0" fontId="0" fillId="0" borderId="0" xfId="0" applyFont="1"/>
    <xf numFmtId="0" fontId="46" fillId="0" borderId="0" xfId="0" applyFont="1"/>
    <xf numFmtId="0" fontId="43" fillId="0" borderId="0" xfId="0" applyFont="1" applyAlignment="1">
      <alignment horizontal="right"/>
    </xf>
    <xf numFmtId="0" fontId="43" fillId="0" borderId="12" xfId="0" applyFont="1" applyBorder="1" applyAlignment="1">
      <alignment horizontal="right"/>
    </xf>
    <xf numFmtId="0" fontId="43" fillId="0" borderId="12" xfId="0" applyFont="1" applyBorder="1"/>
    <xf numFmtId="175" fontId="48" fillId="0" borderId="6" xfId="0" applyNumberFormat="1" applyFont="1" applyFill="1" applyBorder="1" applyAlignment="1">
      <alignment horizontal="right" wrapText="1"/>
    </xf>
    <xf numFmtId="175" fontId="48" fillId="0" borderId="7" xfId="0" applyNumberFormat="1" applyFont="1" applyFill="1" applyBorder="1" applyAlignment="1">
      <alignment horizontal="right" wrapText="1"/>
    </xf>
    <xf numFmtId="175" fontId="48" fillId="0" borderId="18" xfId="0" applyNumberFormat="1" applyFont="1" applyFill="1" applyBorder="1" applyAlignment="1">
      <alignment horizontal="right" wrapText="1"/>
    </xf>
    <xf numFmtId="173" fontId="9" fillId="4" borderId="19" xfId="4" applyNumberFormat="1" applyBorder="1" applyAlignment="1">
      <alignment horizontal="center"/>
    </xf>
    <xf numFmtId="173" fontId="9" fillId="4" borderId="20" xfId="4" applyNumberFormat="1" applyBorder="1" applyAlignment="1">
      <alignment horizontal="center"/>
    </xf>
    <xf numFmtId="0" fontId="51" fillId="12" borderId="6" xfId="0" applyNumberFormat="1" applyFont="1" applyFill="1" applyBorder="1" applyAlignment="1">
      <alignment horizontal="left" wrapText="1"/>
    </xf>
    <xf numFmtId="0" fontId="25" fillId="12" borderId="7" xfId="0" applyNumberFormat="1" applyFont="1" applyFill="1" applyBorder="1" applyAlignment="1">
      <alignment horizontal="left" wrapText="1"/>
    </xf>
    <xf numFmtId="175" fontId="49" fillId="0" borderId="7" xfId="0" applyNumberFormat="1" applyFont="1" applyFill="1" applyBorder="1" applyAlignment="1">
      <alignment horizontal="right" wrapText="1"/>
    </xf>
    <xf numFmtId="175" fontId="49" fillId="0" borderId="18" xfId="0" applyNumberFormat="1" applyFont="1" applyFill="1" applyBorder="1" applyAlignment="1">
      <alignment horizontal="right" wrapText="1"/>
    </xf>
    <xf numFmtId="0" fontId="25" fillId="13" borderId="21" xfId="0" applyNumberFormat="1" applyFont="1" applyFill="1" applyBorder="1" applyAlignment="1">
      <alignment horizontal="left" wrapText="1"/>
    </xf>
    <xf numFmtId="0" fontId="41" fillId="0" borderId="21" xfId="0" applyNumberFormat="1" applyFont="1" applyFill="1" applyBorder="1" applyAlignment="1">
      <alignment horizontal="left" wrapText="1"/>
    </xf>
    <xf numFmtId="164" fontId="9" fillId="4" borderId="3" xfId="4" applyNumberFormat="1" applyBorder="1" applyAlignment="1">
      <alignment horizontal="right" wrapText="1"/>
    </xf>
    <xf numFmtId="164" fontId="9" fillId="4" borderId="22" xfId="4" applyNumberFormat="1" applyBorder="1" applyAlignment="1">
      <alignment horizontal="right" wrapText="1"/>
    </xf>
    <xf numFmtId="0" fontId="42" fillId="0" borderId="21" xfId="0" applyNumberFormat="1" applyFont="1" applyFill="1" applyBorder="1" applyAlignment="1">
      <alignment horizontal="right" wrapText="1"/>
    </xf>
    <xf numFmtId="165" fontId="45" fillId="0" borderId="23" xfId="0" applyNumberFormat="1" applyFont="1" applyFill="1" applyBorder="1" applyAlignment="1">
      <alignment horizontal="right" wrapText="1"/>
    </xf>
    <xf numFmtId="164" fontId="32" fillId="4" borderId="2" xfId="5" applyNumberFormat="1" applyBorder="1" applyAlignment="1">
      <alignment horizontal="right" wrapText="1"/>
    </xf>
    <xf numFmtId="164" fontId="32" fillId="4" borderId="24" xfId="5" applyNumberFormat="1" applyBorder="1" applyAlignment="1">
      <alignment horizontal="right" wrapText="1"/>
    </xf>
    <xf numFmtId="165" fontId="8" fillId="5" borderId="2" xfId="3" applyNumberFormat="1" applyBorder="1" applyAlignment="1">
      <alignment horizontal="right" wrapText="1"/>
    </xf>
    <xf numFmtId="165" fontId="8" fillId="5" borderId="24" xfId="3" applyNumberFormat="1" applyBorder="1" applyAlignment="1">
      <alignment horizontal="right" wrapText="1"/>
    </xf>
    <xf numFmtId="0" fontId="23" fillId="0" borderId="21" xfId="0" applyNumberFormat="1" applyFont="1" applyFill="1" applyBorder="1" applyAlignment="1">
      <alignment horizontal="right" wrapText="1"/>
    </xf>
    <xf numFmtId="165" fontId="29" fillId="0" borderId="23" xfId="0" applyNumberFormat="1" applyFont="1" applyFill="1" applyBorder="1" applyAlignment="1">
      <alignment horizontal="right" wrapText="1"/>
    </xf>
    <xf numFmtId="165" fontId="44" fillId="0" borderId="23" xfId="0" applyNumberFormat="1" applyFont="1" applyFill="1" applyBorder="1" applyAlignment="1">
      <alignment horizontal="right" wrapText="1"/>
    </xf>
    <xf numFmtId="167" fontId="8" fillId="5" borderId="2" xfId="3" applyNumberFormat="1" applyBorder="1" applyAlignment="1">
      <alignment horizontal="right" wrapText="1"/>
    </xf>
    <xf numFmtId="167" fontId="8" fillId="5" borderId="24" xfId="3" applyNumberFormat="1" applyBorder="1" applyAlignment="1">
      <alignment horizontal="right" wrapText="1"/>
    </xf>
    <xf numFmtId="0" fontId="23" fillId="0" borderId="21" xfId="0" applyNumberFormat="1" applyFont="1" applyFill="1" applyBorder="1" applyAlignment="1">
      <alignment horizontal="left" wrapText="1"/>
    </xf>
    <xf numFmtId="0" fontId="29" fillId="0" borderId="23" xfId="0" applyNumberFormat="1" applyFont="1" applyFill="1" applyBorder="1" applyAlignment="1">
      <alignment horizontal="right" wrapText="1"/>
    </xf>
    <xf numFmtId="0" fontId="26" fillId="16" borderId="21" xfId="0" applyNumberFormat="1" applyFont="1" applyFill="1" applyBorder="1" applyAlignment="1">
      <alignment horizontal="left" wrapText="1"/>
    </xf>
    <xf numFmtId="167" fontId="29" fillId="0" borderId="23" xfId="0" applyNumberFormat="1" applyFont="1" applyFill="1" applyBorder="1" applyAlignment="1">
      <alignment horizontal="right" wrapText="1"/>
    </xf>
    <xf numFmtId="0" fontId="25" fillId="12" borderId="21" xfId="0" applyNumberFormat="1" applyFont="1" applyFill="1" applyBorder="1" applyAlignment="1">
      <alignment horizontal="left" wrapText="1"/>
    </xf>
    <xf numFmtId="164" fontId="32" fillId="4" borderId="2" xfId="5" applyNumberFormat="1" applyFont="1" applyBorder="1" applyAlignment="1">
      <alignment horizontal="right" wrapText="1"/>
    </xf>
    <xf numFmtId="164" fontId="32" fillId="4" borderId="24" xfId="5" applyNumberFormat="1" applyFont="1" applyBorder="1" applyAlignment="1">
      <alignment horizontal="right" wrapText="1"/>
    </xf>
    <xf numFmtId="167" fontId="27" fillId="0" borderId="23" xfId="0" applyNumberFormat="1" applyFont="1" applyFill="1" applyBorder="1" applyAlignment="1">
      <alignment horizontal="right" wrapText="1"/>
    </xf>
    <xf numFmtId="165" fontId="50" fillId="5" borderId="2" xfId="3" applyNumberFormat="1" applyFont="1" applyBorder="1" applyAlignment="1">
      <alignment horizontal="right" wrapText="1"/>
    </xf>
    <xf numFmtId="165" fontId="50" fillId="5" borderId="24" xfId="3" applyNumberFormat="1" applyFont="1" applyBorder="1" applyAlignment="1">
      <alignment horizontal="right" wrapText="1"/>
    </xf>
    <xf numFmtId="164" fontId="9" fillId="4" borderId="3" xfId="4" applyNumberFormat="1" applyFont="1" applyBorder="1" applyAlignment="1">
      <alignment horizontal="right" wrapText="1"/>
    </xf>
    <xf numFmtId="164" fontId="9" fillId="4" borderId="22" xfId="4" applyNumberFormat="1" applyFont="1" applyBorder="1" applyAlignment="1">
      <alignment horizontal="right" wrapText="1"/>
    </xf>
    <xf numFmtId="164" fontId="29" fillId="0" borderId="23" xfId="0" applyNumberFormat="1" applyFont="1" applyFill="1" applyBorder="1" applyAlignment="1">
      <alignment horizontal="right" wrapText="1"/>
    </xf>
    <xf numFmtId="0" fontId="30" fillId="12" borderId="23" xfId="0" applyNumberFormat="1" applyFont="1" applyFill="1" applyBorder="1" applyAlignment="1">
      <alignment horizontal="right" wrapText="1"/>
    </xf>
    <xf numFmtId="0" fontId="30" fillId="16" borderId="23" xfId="0" applyNumberFormat="1" applyFont="1" applyFill="1" applyBorder="1" applyAlignment="1">
      <alignment horizontal="right" wrapText="1"/>
    </xf>
    <xf numFmtId="0" fontId="30" fillId="13" borderId="23" xfId="0" applyNumberFormat="1" applyFont="1" applyFill="1" applyBorder="1" applyAlignment="1">
      <alignment horizontal="right" wrapText="1"/>
    </xf>
    <xf numFmtId="168" fontId="29" fillId="0" borderId="23" xfId="0" applyNumberFormat="1" applyFont="1" applyFill="1" applyBorder="1" applyAlignment="1">
      <alignment horizontal="right" wrapText="1"/>
    </xf>
    <xf numFmtId="167" fontId="9" fillId="4" borderId="22" xfId="4" applyNumberFormat="1" applyBorder="1" applyAlignment="1">
      <alignment horizontal="right" wrapText="1"/>
    </xf>
    <xf numFmtId="0" fontId="52" fillId="0" borderId="23" xfId="0" applyNumberFormat="1" applyFont="1" applyFill="1" applyBorder="1" applyAlignment="1">
      <alignment horizontal="right" wrapText="1"/>
    </xf>
    <xf numFmtId="0" fontId="23" fillId="0" borderId="9" xfId="0" applyNumberFormat="1" applyFont="1" applyFill="1" applyBorder="1" applyAlignment="1">
      <alignment horizontal="left" wrapText="1"/>
    </xf>
    <xf numFmtId="0" fontId="23" fillId="0" borderId="10" xfId="0" applyNumberFormat="1" applyFont="1" applyFill="1" applyBorder="1" applyAlignment="1">
      <alignment horizontal="left" wrapText="1"/>
    </xf>
    <xf numFmtId="0" fontId="27" fillId="0" borderId="10" xfId="0" applyNumberFormat="1" applyFont="1" applyFill="1" applyBorder="1" applyAlignment="1">
      <alignment horizontal="right" wrapText="1"/>
    </xf>
    <xf numFmtId="0" fontId="29" fillId="0" borderId="10" xfId="0" applyNumberFormat="1" applyFont="1" applyFill="1" applyBorder="1" applyAlignment="1">
      <alignment horizontal="right" wrapText="1"/>
    </xf>
    <xf numFmtId="0" fontId="29" fillId="0" borderId="25" xfId="0" applyNumberFormat="1" applyFont="1" applyFill="1" applyBorder="1" applyAlignment="1">
      <alignment horizontal="right" wrapText="1"/>
    </xf>
    <xf numFmtId="0" fontId="46" fillId="0" borderId="12" xfId="0" applyFont="1" applyBorder="1"/>
    <xf numFmtId="0" fontId="0" fillId="20" borderId="12" xfId="0" applyFill="1" applyBorder="1"/>
    <xf numFmtId="0" fontId="25" fillId="13" borderId="9" xfId="0" applyNumberFormat="1" applyFont="1" applyFill="1" applyBorder="1" applyAlignment="1">
      <alignment horizontal="left" wrapText="1"/>
    </xf>
    <xf numFmtId="0" fontId="25" fillId="13" borderId="10" xfId="0" applyNumberFormat="1" applyFont="1" applyFill="1" applyBorder="1" applyAlignment="1">
      <alignment horizontal="left" wrapText="1"/>
    </xf>
    <xf numFmtId="173" fontId="47" fillId="4" borderId="26" xfId="4" applyNumberFormat="1" applyFont="1" applyBorder="1" applyAlignment="1">
      <alignment horizontal="center"/>
    </xf>
    <xf numFmtId="173" fontId="47" fillId="4" borderId="17" xfId="4" applyNumberFormat="1" applyFont="1" applyBorder="1" applyAlignment="1">
      <alignment horizontal="center"/>
    </xf>
    <xf numFmtId="173" fontId="47" fillId="4" borderId="20" xfId="4" applyNumberFormat="1" applyFont="1" applyBorder="1" applyAlignment="1">
      <alignment horizontal="center"/>
    </xf>
    <xf numFmtId="164" fontId="9" fillId="4" borderId="27" xfId="4" applyNumberFormat="1" applyBorder="1" applyAlignment="1">
      <alignment horizontal="right" wrapText="1"/>
    </xf>
    <xf numFmtId="164" fontId="9" fillId="4" borderId="28" xfId="4" applyNumberFormat="1" applyBorder="1" applyAlignment="1">
      <alignment horizontal="right" wrapText="1"/>
    </xf>
    <xf numFmtId="175" fontId="48" fillId="0" borderId="30" xfId="0" applyNumberFormat="1" applyFont="1" applyFill="1" applyBorder="1" applyAlignment="1">
      <alignment horizontal="right" wrapText="1"/>
    </xf>
    <xf numFmtId="175" fontId="49" fillId="0" borderId="30" xfId="0" applyNumberFormat="1" applyFont="1" applyFill="1" applyBorder="1" applyAlignment="1">
      <alignment horizontal="right" wrapText="1"/>
    </xf>
    <xf numFmtId="175" fontId="49" fillId="0" borderId="31" xfId="0" applyNumberFormat="1" applyFont="1" applyFill="1" applyBorder="1" applyAlignment="1">
      <alignment horizontal="right" wrapText="1"/>
    </xf>
    <xf numFmtId="0" fontId="27" fillId="0" borderId="32" xfId="0" applyNumberFormat="1" applyFont="1" applyFill="1" applyBorder="1" applyAlignment="1">
      <alignment horizontal="right" wrapText="1"/>
    </xf>
    <xf numFmtId="175" fontId="48" fillId="0" borderId="23" xfId="0" applyNumberFormat="1" applyFont="1" applyFill="1" applyBorder="1" applyAlignment="1">
      <alignment horizontal="right" wrapText="1"/>
    </xf>
    <xf numFmtId="0" fontId="26" fillId="16" borderId="6" xfId="0" applyNumberFormat="1" applyFont="1" applyFill="1" applyBorder="1" applyAlignment="1">
      <alignment horizontal="center" wrapText="1"/>
    </xf>
    <xf numFmtId="0" fontId="26" fillId="16" borderId="7" xfId="0" applyNumberFormat="1" applyFont="1" applyFill="1" applyBorder="1" applyAlignment="1">
      <alignment horizontal="center" wrapText="1"/>
    </xf>
    <xf numFmtId="0" fontId="25" fillId="12" borderId="21" xfId="0" applyNumberFormat="1" applyFont="1" applyFill="1" applyBorder="1" applyAlignment="1">
      <alignment horizontal="center" wrapText="1"/>
    </xf>
    <xf numFmtId="0" fontId="25" fillId="12" borderId="12" xfId="0" applyNumberFormat="1" applyFont="1" applyFill="1" applyBorder="1" applyAlignment="1">
      <alignment horizontal="center" wrapText="1"/>
    </xf>
    <xf numFmtId="0" fontId="25" fillId="12" borderId="23" xfId="0" applyNumberFormat="1" applyFont="1" applyFill="1" applyBorder="1" applyAlignment="1">
      <alignment horizontal="center" wrapText="1"/>
    </xf>
    <xf numFmtId="0" fontId="26" fillId="16" borderId="29" xfId="0" applyNumberFormat="1" applyFont="1" applyFill="1" applyBorder="1" applyAlignment="1">
      <alignment horizontal="center" wrapText="1"/>
    </xf>
    <xf numFmtId="0" fontId="26" fillId="16" borderId="30" xfId="0" applyNumberFormat="1" applyFont="1" applyFill="1" applyBorder="1" applyAlignment="1">
      <alignment horizontal="center" wrapText="1"/>
    </xf>
    <xf numFmtId="0" fontId="17" fillId="7" borderId="12" xfId="0" applyNumberFormat="1" applyFont="1" applyFill="1" applyBorder="1" applyAlignment="1">
      <alignment horizontal="center" vertical="center"/>
    </xf>
    <xf numFmtId="0" fontId="12" fillId="8" borderId="12" xfId="0" applyNumberFormat="1" applyFont="1" applyFill="1" applyBorder="1" applyAlignment="1">
      <alignment horizontal="left" vertical="center"/>
    </xf>
    <xf numFmtId="0" fontId="16" fillId="0" borderId="12" xfId="0" applyNumberFormat="1" applyFont="1" applyFill="1" applyBorder="1" applyAlignment="1">
      <alignment wrapText="1"/>
    </xf>
  </cellXfs>
  <cellStyles count="6">
    <cellStyle name="Calculation" xfId="5" builtinId="22"/>
    <cellStyle name="Heading 2" xfId="2" xr:uid="{00000000-0005-0000-0000-000000000000}"/>
    <cellStyle name="Input" xfId="3" xr:uid="{00000000-0005-0000-0000-000001000000}"/>
    <cellStyle name="Normal" xfId="0" builtinId="0"/>
    <cellStyle name="Output" xfId="4" xr:uid="{00000000-0005-0000-0000-000003000000}"/>
    <cellStyle name="Percent" xfId="1" xr:uid="{00000000-0005-0000-0000-000004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rlito"/>
        <scheme val="none"/>
      </font>
      <numFmt numFmtId="164" formatCode="#,##0.0;[Red]\(#,##0.0\);\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FY2025 revenue component contribution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FY2025 contribution</c:v>
          </c:tx>
          <c:invertIfNegative val="0"/>
          <c:cat>
            <c:strRef>
              <c:f>'Rev Cost Analytics'!$A$15:$A$19</c:f>
              <c:strCache>
                <c:ptCount val="5"/>
                <c:pt idx="0">
                  <c:v>Post-paid electricity sales</c:v>
                </c:pt>
                <c:pt idx="1">
                  <c:v>Prepaid electricity sales</c:v>
                </c:pt>
                <c:pt idx="2">
                  <c:v>Foreign exchange adjustment</c:v>
                </c:pt>
                <c:pt idx="3">
                  <c:v>Fuel cost charge / fuel cost recovery</c:v>
                </c:pt>
                <c:pt idx="4">
                  <c:v>Revenue apportioned to RES</c:v>
                </c:pt>
              </c:strCache>
            </c:strRef>
          </c:cat>
          <c:val>
            <c:numRef>
              <c:f>'Rev Cost Analytics'!$J$15:$J$19</c:f>
              <c:numCache>
                <c:formatCode>0.0%;[Red]\(0.0%\);\-</c:formatCode>
                <c:ptCount val="5"/>
                <c:pt idx="0">
                  <c:v>0.668121365476115</c:v>
                </c:pt>
                <c:pt idx="1">
                  <c:v>0.17131029484938493</c:v>
                </c:pt>
                <c:pt idx="2">
                  <c:v>4.7484700336961241E-2</c:v>
                </c:pt>
                <c:pt idx="3">
                  <c:v>0.1238982261624539</c:v>
                </c:pt>
                <c:pt idx="4">
                  <c:v>-1.0814586824915104E-2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A-46B0-ADBD-2B697827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FY2025 cost-of-sales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FY2025 contribution</c:v>
          </c:tx>
          <c:invertIfNegative val="1"/>
          <c:cat>
            <c:strRef>
              <c:f>'Rev Cost Analytics'!$A$35:$A$39</c:f>
              <c:strCache>
                <c:ptCount val="5"/>
                <c:pt idx="0">
                  <c:v>Renewable/non-fuel energy cost</c:v>
                </c:pt>
                <c:pt idx="1">
                  <c:v>Foreign exchange costs on power purchases</c:v>
                </c:pt>
                <c:pt idx="2">
                  <c:v>Unrealised foreign exchange costs</c:v>
                </c:pt>
                <c:pt idx="3">
                  <c:v>Fuel / thermal energy cost</c:v>
                </c:pt>
                <c:pt idx="4">
                  <c:v>Other power purchase costs</c:v>
                </c:pt>
              </c:strCache>
            </c:strRef>
          </c:cat>
          <c:val>
            <c:numRef>
              <c:f>'Rev Cost Analytics'!$J$35:$J$39</c:f>
              <c:numCache>
                <c:formatCode>0.0%;[Red]\(0.0%\);\-</c:formatCode>
                <c:ptCount val="5"/>
                <c:pt idx="0">
                  <c:v>0.69147453500830414</c:v>
                </c:pt>
                <c:pt idx="1">
                  <c:v>0</c:v>
                </c:pt>
                <c:pt idx="2">
                  <c:v>2.8763972804355317E-3</c:v>
                </c:pt>
                <c:pt idx="3">
                  <c:v>0.30552387381746776</c:v>
                </c:pt>
                <c:pt idx="4">
                  <c:v>1.2519389379242967E-4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E-44A5-8509-55F8864B4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FY2025 operating expense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FY2025 contribution</c:v>
          </c:tx>
          <c:invertIfNegative val="0"/>
          <c:cat>
            <c:strRef>
              <c:f>'Rev Cost Analytics'!$A$44:$A$47</c:f>
              <c:strCache>
                <c:ptCount val="4"/>
                <c:pt idx="0">
                  <c:v>Network management</c:v>
                </c:pt>
                <c:pt idx="1">
                  <c:v>Commercial services</c:v>
                </c:pt>
                <c:pt idx="2">
                  <c:v>Administration</c:v>
                </c:pt>
                <c:pt idx="3">
                  <c:v>Expected credit losses on financial assets</c:v>
                </c:pt>
              </c:strCache>
            </c:strRef>
          </c:cat>
          <c:val>
            <c:numRef>
              <c:f>'Rev Cost Analytics'!$J$44:$J$47</c:f>
              <c:numCache>
                <c:formatCode>0.0%;[Red]\(0.0%\);\-</c:formatCode>
                <c:ptCount val="4"/>
                <c:pt idx="0">
                  <c:v>0.5739579496092978</c:v>
                </c:pt>
                <c:pt idx="1">
                  <c:v>0.14421991409673368</c:v>
                </c:pt>
                <c:pt idx="2">
                  <c:v>0.386324583959756</c:v>
                </c:pt>
                <c:pt idx="3">
                  <c:v>-0.10450244766578748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4-4456-AA65-DEC560601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FY2025 other income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FY2025 contribution</c:v>
          </c:tx>
          <c:invertIfNegative val="1"/>
          <c:cat>
            <c:strRef>
              <c:f>'Rev Cost Analytics'!$A$52:$A$59</c:f>
              <c:strCache>
                <c:ptCount val="8"/>
                <c:pt idx="0">
                  <c:v>GOK support for 15% tariff reduction</c:v>
                </c:pt>
                <c:pt idx="1">
                  <c:v>Amortisation of capital contribution</c:v>
                </c:pt>
                <c:pt idx="2">
                  <c:v>Fibre optic leases</c:v>
                </c:pt>
                <c:pt idx="3">
                  <c:v>Miscellaneous revenue / sales</c:v>
                </c:pt>
                <c:pt idx="4">
                  <c:v>Transmission line maintenance revenue</c:v>
                </c:pt>
                <c:pt idx="5">
                  <c:v>Capital contribution - Last Mile / recoveries</c:v>
                </c:pt>
                <c:pt idx="6">
                  <c:v>Reconnection charges</c:v>
                </c:pt>
                <c:pt idx="7">
                  <c:v>Rent</c:v>
                </c:pt>
              </c:strCache>
            </c:strRef>
          </c:cat>
          <c:val>
            <c:numRef>
              <c:f>'Rev Cost Analytics'!$J$52:$J$59</c:f>
              <c:numCache>
                <c:formatCode>0.0%;[Red]\(0.0%\);\-</c:formatCode>
                <c:ptCount val="8"/>
                <c:pt idx="0">
                  <c:v>0</c:v>
                </c:pt>
                <c:pt idx="1">
                  <c:v>0.38589998374746559</c:v>
                </c:pt>
                <c:pt idx="2">
                  <c:v>0.12879177063036301</c:v>
                </c:pt>
                <c:pt idx="3">
                  <c:v>0.32196766034652718</c:v>
                </c:pt>
                <c:pt idx="4">
                  <c:v>0</c:v>
                </c:pt>
                <c:pt idx="5">
                  <c:v>1.8674588618904763E-2</c:v>
                </c:pt>
                <c:pt idx="6">
                  <c:v>0.12806708099390646</c:v>
                </c:pt>
                <c:pt idx="7">
                  <c:v>1.6598915662832985E-2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5-48BC-9B98-E34DE08EA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FY2025 Tariff Structure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'Rev Cost Analytics'!$A$24:$A$30</c:f>
              <c:strCache>
                <c:ptCount val="7"/>
                <c:pt idx="0">
                  <c:v>Domestic revenue</c:v>
                </c:pt>
                <c:pt idx="1">
                  <c:v>Small commercial revenue</c:v>
                </c:pt>
                <c:pt idx="2">
                  <c:v>Commercial &amp; industrial revenue</c:v>
                </c:pt>
                <c:pt idx="3">
                  <c:v>Street lighting revenue</c:v>
                </c:pt>
                <c:pt idx="4">
                  <c:v>E-mobility revenue</c:v>
                </c:pt>
                <c:pt idx="5">
                  <c:v>Export revenue</c:v>
                </c:pt>
                <c:pt idx="6">
                  <c:v>REP revenue</c:v>
                </c:pt>
              </c:strCache>
            </c:strRef>
          </c:cat>
          <c:val>
            <c:numRef>
              <c:f>'Rev Cost Analytics'!$J$24:$J$30</c:f>
              <c:numCache>
                <c:formatCode>0.0%;[Red]\(0.0%\);\-</c:formatCode>
                <c:ptCount val="7"/>
                <c:pt idx="0">
                  <c:v>0.2839434699776639</c:v>
                </c:pt>
                <c:pt idx="1">
                  <c:v>0.17243956116147682</c:v>
                </c:pt>
                <c:pt idx="2">
                  <c:v>0.48323150702929968</c:v>
                </c:pt>
                <c:pt idx="3">
                  <c:v>5.4115753514649848E-3</c:v>
                </c:pt>
                <c:pt idx="4">
                  <c:v>9.8541584548679539E-5</c:v>
                </c:pt>
                <c:pt idx="5">
                  <c:v>3.843121797398502E-3</c:v>
                </c:pt>
                <c:pt idx="6">
                  <c:v>5.1032223098147415E-2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{"FY'2025 Contribution"}</c15:sqref>
                        </c15:formulaRef>
                      </c:ext>
                    </c:extLst>
                    <c:strCache>
                      <c:ptCount val="1"/>
                      <c:pt idx="0">
                        <c:v>FY'2025 Contribution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8D7-404C-A958-5AB22A3F4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19</xdr:row>
      <xdr:rowOff>133350</xdr:rowOff>
    </xdr:from>
    <xdr:to>
      <xdr:col>21</xdr:col>
      <xdr:colOff>19050</xdr:colOff>
      <xdr:row>36</xdr:row>
      <xdr:rowOff>133350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</xdr:colOff>
      <xdr:row>39</xdr:row>
      <xdr:rowOff>28575</xdr:rowOff>
    </xdr:from>
    <xdr:to>
      <xdr:col>21</xdr:col>
      <xdr:colOff>19050</xdr:colOff>
      <xdr:row>56</xdr:row>
      <xdr:rowOff>28575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56</xdr:row>
      <xdr:rowOff>0</xdr:rowOff>
    </xdr:from>
    <xdr:to>
      <xdr:col>21</xdr:col>
      <xdr:colOff>0</xdr:colOff>
      <xdr:row>73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638175</xdr:colOff>
      <xdr:row>77</xdr:row>
      <xdr:rowOff>47625</xdr:rowOff>
    </xdr:from>
    <xdr:to>
      <xdr:col>20</xdr:col>
      <xdr:colOff>866775</xdr:colOff>
      <xdr:row>95</xdr:row>
      <xdr:rowOff>9525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LC_Historicals_Table" displayName="KPLC_Historicals_Table" ref="B10:N283">
  <tableColumns count="13">
    <tableColumn id="1" xr3:uid="{00000000-0010-0000-0000-000001000000}" name="Section"/>
    <tableColumn id="2" xr3:uid="{00000000-0010-0000-0000-000002000000}" name="Sub-section"/>
    <tableColumn id="3" xr3:uid="{00000000-0010-0000-0000-000003000000}" name="Line item"/>
    <tableColumn id="4" xr3:uid="{00000000-0010-0000-0000-000004000000}" name="Unit"/>
    <tableColumn id="11" xr3:uid="{00000000-0010-0000-0000-00000B000000}" name="2017"/>
    <tableColumn id="12" xr3:uid="{00000000-0010-0000-0000-00000C000000}" name="2018"/>
    <tableColumn id="13" xr3:uid="{00000000-0010-0000-0000-00000D000000}" name="2019"/>
    <tableColumn id="14" xr3:uid="{00000000-0010-0000-0000-00000E000000}" name="2020"/>
    <tableColumn id="15" xr3:uid="{00000000-0010-0000-0000-00000F000000}" name="2021"/>
    <tableColumn id="16" xr3:uid="{00000000-0010-0000-0000-000010000000}" name="2022"/>
    <tableColumn id="17" xr3:uid="{00000000-0010-0000-0000-000011000000}" name="2023"/>
    <tableColumn id="18" xr3:uid="{00000000-0010-0000-0000-000012000000}" name="2024"/>
    <tableColumn id="19" xr3:uid="{00000000-0010-0000-0000-000013000000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330"/>
  <sheetViews>
    <sheetView showGridLines="0" tabSelected="1" workbookViewId="0">
      <selection activeCell="L28" sqref="L28"/>
    </sheetView>
  </sheetViews>
  <sheetFormatPr defaultRowHeight="14.25"/>
  <cols>
    <col min="1" max="1" width="5.875" customWidth="1"/>
    <col min="2" max="2" width="42.5" customWidth="1"/>
    <col min="3" max="3" width="8.5" customWidth="1"/>
    <col min="4" max="17" width="11" customWidth="1"/>
    <col min="18" max="18" width="58.375" customWidth="1"/>
    <col min="19" max="19" width="53.125" customWidth="1"/>
  </cols>
  <sheetData>
    <row r="1" spans="2:31" ht="36">
      <c r="B1" s="101" t="s">
        <v>0</v>
      </c>
      <c r="C1" s="94"/>
      <c r="D1" s="95"/>
      <c r="E1" s="96"/>
      <c r="F1" s="96"/>
      <c r="G1" s="96"/>
      <c r="H1" s="97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8"/>
      <c r="V1" s="98"/>
      <c r="W1" s="98"/>
      <c r="X1" s="98"/>
      <c r="Y1" s="98"/>
      <c r="Z1" s="96"/>
      <c r="AA1" s="99"/>
      <c r="AB1" s="100"/>
      <c r="AC1" s="100"/>
      <c r="AD1" s="100"/>
      <c r="AE1" s="100"/>
    </row>
    <row r="2" spans="2:31" ht="15">
      <c r="B2" s="56"/>
      <c r="C2" s="56"/>
      <c r="D2" s="57"/>
      <c r="E2" s="57"/>
      <c r="F2" s="57"/>
      <c r="G2" s="57"/>
      <c r="H2" s="57"/>
      <c r="I2" s="57"/>
      <c r="J2" s="57"/>
      <c r="K2" s="57"/>
      <c r="L2" s="57"/>
      <c r="M2" s="58"/>
      <c r="N2" s="58"/>
      <c r="O2" s="58"/>
      <c r="P2" s="58"/>
      <c r="Q2" s="58"/>
      <c r="R2" s="59"/>
      <c r="S2" s="59"/>
    </row>
    <row r="3" spans="2:31" ht="15">
      <c r="B3" s="60" t="s">
        <v>1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2:31" ht="25.5">
      <c r="B4" s="61" t="s">
        <v>2</v>
      </c>
      <c r="C4" s="61"/>
      <c r="D4" s="62" t="str">
        <f>Q308</f>
        <v>BUY</v>
      </c>
      <c r="E4" s="63"/>
      <c r="F4" s="63" t="s">
        <v>3</v>
      </c>
      <c r="G4" s="64">
        <f>D19</f>
        <v>18.350000000000001</v>
      </c>
      <c r="H4" s="63"/>
      <c r="I4" s="63"/>
      <c r="J4" s="63" t="s">
        <v>4</v>
      </c>
      <c r="K4" s="64">
        <f>Q304</f>
        <v>56.152765177667888</v>
      </c>
      <c r="L4" s="63"/>
      <c r="M4" s="65"/>
      <c r="N4" s="65" t="s">
        <v>5</v>
      </c>
      <c r="O4" s="66">
        <f>Q305</f>
        <v>2.0600961949682772</v>
      </c>
      <c r="P4" s="65"/>
      <c r="Q4" s="65"/>
    </row>
    <row r="5" spans="2:31" ht="15">
      <c r="B5" s="67" t="s">
        <v>6</v>
      </c>
      <c r="C5" s="67"/>
      <c r="D5" s="68">
        <f>D19</f>
        <v>18.350000000000001</v>
      </c>
      <c r="E5" s="57"/>
      <c r="F5" s="57"/>
      <c r="G5" s="57"/>
      <c r="H5" s="57"/>
      <c r="I5" s="57"/>
      <c r="J5" s="57"/>
      <c r="K5" s="57"/>
      <c r="L5" s="57"/>
      <c r="M5" s="58"/>
      <c r="N5" s="58"/>
      <c r="O5" s="58"/>
      <c r="P5" s="58"/>
      <c r="Q5" s="58"/>
    </row>
    <row r="6" spans="2:31" ht="15">
      <c r="B6" s="67" t="s">
        <v>7</v>
      </c>
      <c r="C6" s="67"/>
      <c r="D6" s="68">
        <f>Q304</f>
        <v>56.152765177667888</v>
      </c>
      <c r="E6" s="57"/>
      <c r="F6" s="57"/>
      <c r="G6" s="57"/>
      <c r="H6" s="57"/>
      <c r="I6" s="57"/>
      <c r="J6" s="57"/>
      <c r="K6" s="57"/>
      <c r="L6" s="57"/>
      <c r="M6" s="58"/>
      <c r="N6" s="58"/>
      <c r="O6" s="58"/>
      <c r="P6" s="58"/>
      <c r="Q6" s="58"/>
    </row>
    <row r="7" spans="2:31" ht="15">
      <c r="B7" s="67" t="s">
        <v>8</v>
      </c>
      <c r="C7" s="67"/>
      <c r="D7" s="69">
        <f>Q305</f>
        <v>2.0600961949682772</v>
      </c>
      <c r="E7" s="57"/>
      <c r="F7" s="57"/>
      <c r="G7" s="57"/>
      <c r="H7" s="57"/>
      <c r="I7" s="57"/>
      <c r="J7" s="57"/>
      <c r="K7" s="57"/>
      <c r="L7" s="57"/>
      <c r="M7" s="58"/>
      <c r="N7" s="58"/>
      <c r="O7" s="58"/>
      <c r="P7" s="58"/>
      <c r="Q7" s="58"/>
    </row>
    <row r="8" spans="2:31" ht="15">
      <c r="B8" s="67" t="s">
        <v>9</v>
      </c>
      <c r="C8" s="67"/>
      <c r="D8" s="68">
        <f>M247</f>
        <v>0.70286510884728559</v>
      </c>
      <c r="E8" s="57"/>
      <c r="F8" s="57"/>
      <c r="G8" s="57"/>
      <c r="H8" s="57"/>
      <c r="I8" s="57"/>
      <c r="J8" s="57"/>
      <c r="K8" s="57"/>
      <c r="L8" s="57"/>
      <c r="M8" s="58"/>
      <c r="N8" s="58"/>
      <c r="O8" s="58"/>
      <c r="P8" s="58"/>
      <c r="Q8" s="58"/>
    </row>
    <row r="9" spans="2:31" ht="15">
      <c r="B9" s="67" t="s">
        <v>10</v>
      </c>
      <c r="C9" s="67"/>
      <c r="D9" s="69">
        <f>Q306</f>
        <v>3.8303275686500576E-2</v>
      </c>
      <c r="E9" s="57"/>
      <c r="F9" s="57"/>
      <c r="G9" s="57"/>
      <c r="H9" s="57"/>
      <c r="I9" s="57"/>
      <c r="J9" s="57"/>
      <c r="K9" s="57"/>
      <c r="L9" s="57"/>
      <c r="M9" s="58"/>
      <c r="N9" s="58"/>
      <c r="O9" s="58"/>
      <c r="P9" s="58"/>
      <c r="Q9" s="58"/>
    </row>
    <row r="10" spans="2:31" ht="15">
      <c r="B10" s="67" t="s">
        <v>11</v>
      </c>
      <c r="C10" s="67"/>
      <c r="D10" s="69">
        <f>Q307</f>
        <v>2.0983994706547779</v>
      </c>
      <c r="E10" s="57"/>
      <c r="F10" s="57"/>
      <c r="G10" s="57"/>
      <c r="H10" s="57"/>
      <c r="I10" s="57"/>
      <c r="J10" s="57"/>
      <c r="K10" s="57"/>
      <c r="L10" s="57"/>
      <c r="M10" s="58"/>
      <c r="N10" s="58"/>
      <c r="O10" s="58"/>
      <c r="P10" s="58"/>
      <c r="Q10" s="58"/>
    </row>
    <row r="11" spans="2:31" ht="15">
      <c r="B11" s="67" t="s">
        <v>12</v>
      </c>
      <c r="C11" s="67"/>
      <c r="D11" s="68">
        <f>Q283</f>
        <v>54.02518851778499</v>
      </c>
      <c r="E11" s="57"/>
      <c r="F11" s="57"/>
      <c r="G11" s="57"/>
      <c r="H11" s="57"/>
      <c r="I11" s="57"/>
      <c r="J11" s="57"/>
      <c r="K11" s="57"/>
      <c r="L11" s="57"/>
      <c r="M11" s="58"/>
      <c r="N11" s="58"/>
      <c r="O11" s="58"/>
      <c r="P11" s="58"/>
      <c r="Q11" s="58"/>
    </row>
    <row r="12" spans="2:31" ht="15">
      <c r="B12" s="67" t="s">
        <v>13</v>
      </c>
      <c r="C12" s="67"/>
      <c r="D12" s="68">
        <f>Q288</f>
        <v>60.826951497799655</v>
      </c>
      <c r="E12" s="57"/>
      <c r="F12" s="57"/>
      <c r="G12" s="57"/>
      <c r="H12" s="57"/>
      <c r="I12" s="57"/>
      <c r="J12" s="57"/>
      <c r="K12" s="57"/>
      <c r="L12" s="57"/>
      <c r="M12" s="58"/>
      <c r="N12" s="58"/>
      <c r="O12" s="58"/>
      <c r="P12" s="58"/>
      <c r="Q12" s="58"/>
    </row>
    <row r="13" spans="2:31" ht="15">
      <c r="B13" s="67" t="s">
        <v>14</v>
      </c>
      <c r="C13" s="67"/>
      <c r="D13" s="68">
        <f>Q292</f>
        <v>8.011141719581083</v>
      </c>
      <c r="E13" s="57"/>
      <c r="F13" s="57"/>
      <c r="G13" s="57"/>
      <c r="H13" s="57"/>
      <c r="I13" s="57"/>
      <c r="J13" s="57"/>
      <c r="K13" s="57"/>
      <c r="L13" s="57"/>
      <c r="M13" s="58"/>
      <c r="N13" s="58"/>
      <c r="O13" s="58"/>
      <c r="P13" s="58"/>
      <c r="Q13" s="58"/>
    </row>
    <row r="14" spans="2:31" ht="15">
      <c r="B14" s="67" t="s">
        <v>15</v>
      </c>
      <c r="C14" s="67"/>
      <c r="D14" s="68">
        <f>Q295</f>
        <v>73.054244826788647</v>
      </c>
      <c r="E14" s="57"/>
      <c r="F14" s="57"/>
      <c r="G14" s="57"/>
      <c r="H14" s="57"/>
      <c r="I14" s="57"/>
      <c r="J14" s="57"/>
      <c r="K14" s="57"/>
      <c r="L14" s="57"/>
      <c r="M14" s="58"/>
      <c r="N14" s="58"/>
      <c r="O14" s="58"/>
      <c r="P14" s="58"/>
      <c r="Q14" s="58"/>
      <c r="S14" s="59"/>
    </row>
    <row r="15" spans="2:31" ht="15">
      <c r="B15" s="56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8"/>
      <c r="O15" s="58"/>
      <c r="P15" s="58"/>
      <c r="Q15" s="58"/>
      <c r="S15" s="59"/>
    </row>
    <row r="16" spans="2:31" ht="15">
      <c r="B16" s="70" t="s">
        <v>16</v>
      </c>
      <c r="C16" s="70"/>
      <c r="D16" s="71"/>
      <c r="E16" s="71"/>
      <c r="F16" s="71"/>
      <c r="G16" s="71"/>
      <c r="H16" s="71"/>
      <c r="I16" s="71"/>
      <c r="J16" s="71"/>
      <c r="K16" s="71"/>
      <c r="L16" s="71"/>
      <c r="M16" s="72"/>
      <c r="N16" s="72"/>
      <c r="O16" s="72"/>
      <c r="P16" s="72"/>
      <c r="Q16" s="72"/>
      <c r="S16" s="70"/>
    </row>
    <row r="17" spans="2:19" ht="15">
      <c r="B17" s="73" t="s">
        <v>17</v>
      </c>
      <c r="C17" s="73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5"/>
      <c r="O17" s="75"/>
      <c r="P17" s="75"/>
      <c r="Q17" s="75"/>
      <c r="S17" s="76"/>
    </row>
    <row r="18" spans="2:19" ht="15">
      <c r="B18" s="77" t="s">
        <v>18</v>
      </c>
      <c r="C18" s="77" t="s">
        <v>19</v>
      </c>
      <c r="D18" s="78" t="s">
        <v>20</v>
      </c>
      <c r="E18" s="78"/>
      <c r="F18" s="78"/>
      <c r="G18" s="78"/>
      <c r="H18" s="78"/>
      <c r="I18" s="78"/>
      <c r="J18" s="78"/>
      <c r="K18" s="78"/>
      <c r="L18" s="78"/>
      <c r="M18" s="79"/>
      <c r="N18" s="79"/>
      <c r="O18" s="79"/>
      <c r="P18" s="79"/>
      <c r="Q18" s="79"/>
      <c r="S18" s="80" t="s">
        <v>21</v>
      </c>
    </row>
    <row r="19" spans="2:19" ht="15">
      <c r="B19" s="56" t="s">
        <v>6</v>
      </c>
      <c r="C19" s="56" t="s">
        <v>22</v>
      </c>
      <c r="D19" s="81">
        <v>18.350000000000001</v>
      </c>
      <c r="E19" s="82"/>
      <c r="F19" s="82"/>
      <c r="G19" s="82"/>
      <c r="H19" s="82"/>
      <c r="I19" s="82"/>
      <c r="J19" s="82"/>
      <c r="K19" s="82"/>
      <c r="L19" s="82"/>
      <c r="M19" s="83"/>
      <c r="N19" s="83"/>
      <c r="O19" s="83"/>
      <c r="P19" s="83"/>
      <c r="Q19" s="83"/>
      <c r="S19" s="59" t="s">
        <v>23</v>
      </c>
    </row>
    <row r="20" spans="2:19" ht="15">
      <c r="B20" s="56" t="s">
        <v>24</v>
      </c>
      <c r="C20" s="56" t="s">
        <v>25</v>
      </c>
      <c r="D20" s="84">
        <f>'Historical Dataset'!N266</f>
        <v>1951.4668000000001</v>
      </c>
      <c r="E20" s="85"/>
      <c r="F20" s="85"/>
      <c r="G20" s="85"/>
      <c r="H20" s="85"/>
      <c r="I20" s="85"/>
      <c r="J20" s="85"/>
      <c r="K20" s="85"/>
      <c r="L20" s="85"/>
      <c r="M20" s="84"/>
      <c r="N20" s="84"/>
      <c r="O20" s="84"/>
      <c r="P20" s="84"/>
      <c r="Q20" s="84"/>
      <c r="S20" s="59" t="s">
        <v>26</v>
      </c>
    </row>
    <row r="21" spans="2:19" ht="15">
      <c r="B21" s="56" t="s">
        <v>27</v>
      </c>
      <c r="C21" s="56" t="s">
        <v>28</v>
      </c>
      <c r="D21" s="84">
        <f>D19*D20</f>
        <v>35809.415780000003</v>
      </c>
      <c r="E21" s="85"/>
      <c r="F21" s="85"/>
      <c r="G21" s="85"/>
      <c r="H21" s="85"/>
      <c r="I21" s="85"/>
      <c r="J21" s="85"/>
      <c r="K21" s="85"/>
      <c r="L21" s="85"/>
      <c r="M21" s="84"/>
      <c r="N21" s="84"/>
      <c r="O21" s="84"/>
      <c r="P21" s="84"/>
      <c r="Q21" s="84"/>
      <c r="S21" s="59" t="s">
        <v>29</v>
      </c>
    </row>
    <row r="22" spans="2:19" ht="15">
      <c r="B22" s="56" t="s">
        <v>30</v>
      </c>
      <c r="C22" s="56" t="s">
        <v>31</v>
      </c>
      <c r="D22" s="86">
        <v>0.1239</v>
      </c>
      <c r="E22" s="87"/>
      <c r="F22" s="87"/>
      <c r="G22" s="87"/>
      <c r="H22" s="87"/>
      <c r="I22" s="87"/>
      <c r="J22" s="87"/>
      <c r="K22" s="87"/>
      <c r="L22" s="87"/>
      <c r="M22" s="88"/>
      <c r="N22" s="88"/>
      <c r="O22" s="88"/>
      <c r="P22" s="88"/>
      <c r="Q22" s="88"/>
      <c r="S22" s="59" t="s">
        <v>32</v>
      </c>
    </row>
    <row r="23" spans="2:19" ht="15">
      <c r="B23" s="56" t="s">
        <v>33</v>
      </c>
      <c r="C23" s="56" t="s">
        <v>34</v>
      </c>
      <c r="D23" s="89">
        <v>0.3</v>
      </c>
      <c r="E23" s="90"/>
      <c r="F23" s="90"/>
      <c r="G23" s="90"/>
      <c r="H23" s="90"/>
      <c r="I23" s="90"/>
      <c r="J23" s="90"/>
      <c r="K23" s="90"/>
      <c r="L23" s="90"/>
      <c r="M23" s="91"/>
      <c r="N23" s="91"/>
      <c r="O23" s="91"/>
      <c r="P23" s="91"/>
      <c r="Q23" s="91"/>
      <c r="S23" s="59" t="s">
        <v>35</v>
      </c>
    </row>
    <row r="24" spans="2:19" ht="15">
      <c r="B24" s="56" t="s">
        <v>36</v>
      </c>
      <c r="C24" s="56" t="s">
        <v>31</v>
      </c>
      <c r="D24" s="86">
        <v>0.06</v>
      </c>
      <c r="E24" s="87"/>
      <c r="F24" s="87"/>
      <c r="G24" s="87"/>
      <c r="H24" s="87"/>
      <c r="I24" s="87"/>
      <c r="J24" s="87"/>
      <c r="K24" s="87"/>
      <c r="L24" s="87"/>
      <c r="M24" s="88"/>
      <c r="N24" s="88"/>
      <c r="O24" s="88"/>
      <c r="P24" s="88"/>
      <c r="Q24" s="88"/>
      <c r="R24" s="59"/>
      <c r="S24" s="59" t="s">
        <v>37</v>
      </c>
    </row>
    <row r="25" spans="2:19" ht="15">
      <c r="B25" s="56" t="s">
        <v>38</v>
      </c>
      <c r="C25" s="56" t="s">
        <v>31</v>
      </c>
      <c r="D25" s="86">
        <v>0.02</v>
      </c>
      <c r="E25" s="87"/>
      <c r="F25" s="87"/>
      <c r="G25" s="87"/>
      <c r="H25" s="87"/>
      <c r="I25" s="87"/>
      <c r="J25" s="87"/>
      <c r="K25" s="87"/>
      <c r="L25" s="87"/>
      <c r="M25" s="88"/>
      <c r="N25" s="88"/>
      <c r="O25" s="88"/>
      <c r="P25" s="88"/>
      <c r="Q25" s="88"/>
      <c r="R25" s="59"/>
      <c r="S25" s="59" t="s">
        <v>39</v>
      </c>
    </row>
    <row r="26" spans="2:19" ht="15">
      <c r="B26" s="56" t="s">
        <v>40</v>
      </c>
      <c r="C26" s="56" t="s">
        <v>31</v>
      </c>
      <c r="D26" s="86">
        <v>1.4999999999999999E-2</v>
      </c>
      <c r="E26" s="87"/>
      <c r="F26" s="87"/>
      <c r="G26" s="87"/>
      <c r="H26" s="87"/>
      <c r="I26" s="87"/>
      <c r="J26" s="87"/>
      <c r="K26" s="87"/>
      <c r="L26" s="87"/>
      <c r="M26" s="88"/>
      <c r="N26" s="88"/>
      <c r="O26" s="88"/>
      <c r="P26" s="88"/>
      <c r="Q26" s="88"/>
      <c r="R26" s="59"/>
      <c r="S26" s="59" t="s">
        <v>41</v>
      </c>
    </row>
    <row r="27" spans="2:19" ht="15">
      <c r="B27" s="56" t="s">
        <v>42</v>
      </c>
      <c r="C27" s="56" t="s">
        <v>31</v>
      </c>
      <c r="D27" s="88">
        <f>D22+D23*D24+D25+D26</f>
        <v>0.1769</v>
      </c>
      <c r="E27" s="87"/>
      <c r="F27" s="87"/>
      <c r="G27" s="87"/>
      <c r="H27" s="87"/>
      <c r="I27" s="87"/>
      <c r="J27" s="87"/>
      <c r="K27" s="87"/>
      <c r="L27" s="87"/>
      <c r="M27" s="88"/>
      <c r="N27" s="88"/>
      <c r="O27" s="88"/>
      <c r="P27" s="88"/>
      <c r="Q27" s="88"/>
      <c r="R27" s="59"/>
      <c r="S27" s="59" t="s">
        <v>43</v>
      </c>
    </row>
    <row r="28" spans="2:19" ht="15">
      <c r="B28" s="56" t="s">
        <v>44</v>
      </c>
      <c r="C28" s="56" t="s">
        <v>31</v>
      </c>
      <c r="D28" s="86">
        <v>5.5E-2</v>
      </c>
      <c r="E28" s="87"/>
      <c r="F28" s="87"/>
      <c r="G28" s="87"/>
      <c r="H28" s="87"/>
      <c r="I28" s="87"/>
      <c r="J28" s="87"/>
      <c r="K28" s="87"/>
      <c r="L28" s="87"/>
      <c r="M28" s="88"/>
      <c r="N28" s="88"/>
      <c r="O28" s="88"/>
      <c r="P28" s="88"/>
      <c r="Q28" s="88"/>
      <c r="R28" s="59"/>
      <c r="S28" s="59" t="s">
        <v>45</v>
      </c>
    </row>
    <row r="29" spans="2:19" ht="15">
      <c r="B29" s="56" t="s">
        <v>46</v>
      </c>
      <c r="C29" s="56" t="s">
        <v>31</v>
      </c>
      <c r="D29" s="88">
        <f>MIN(MAX(AVERAGE(ABS('Historical Dataset'!L124/'Historical Dataset'!L123),ABS('Historical Dataset'!M124/'Historical Dataset'!M123),ABS('Historical Dataset'!N124/'Historical Dataset'!N123)),0),30%)</f>
        <v>0.2997686923552802</v>
      </c>
      <c r="E29" s="87"/>
      <c r="F29" s="87"/>
      <c r="G29" s="87"/>
      <c r="H29" s="87"/>
      <c r="I29" s="87"/>
      <c r="J29" s="87"/>
      <c r="K29" s="87"/>
      <c r="L29" s="87"/>
      <c r="M29" s="88"/>
      <c r="N29" s="88"/>
      <c r="O29" s="88"/>
      <c r="P29" s="88"/>
      <c r="Q29" s="88"/>
      <c r="R29" s="59"/>
      <c r="S29" s="59" t="s">
        <v>47</v>
      </c>
    </row>
    <row r="30" spans="2:19" ht="15">
      <c r="B30" s="56" t="s">
        <v>48</v>
      </c>
      <c r="C30" s="56" t="s">
        <v>31</v>
      </c>
      <c r="D30" s="86">
        <v>6.4000000000000001E-2</v>
      </c>
      <c r="E30" s="87"/>
      <c r="F30" s="87"/>
      <c r="G30" s="87"/>
      <c r="H30" s="87"/>
      <c r="I30" s="87"/>
      <c r="J30" s="87"/>
      <c r="K30" s="87"/>
      <c r="L30" s="87"/>
      <c r="M30" s="88"/>
      <c r="N30" s="88"/>
      <c r="O30" s="88"/>
      <c r="P30" s="88"/>
      <c r="Q30" s="88"/>
      <c r="R30" s="59"/>
      <c r="S30" s="59" t="s">
        <v>49</v>
      </c>
    </row>
    <row r="31" spans="2:19" ht="15">
      <c r="B31" s="56" t="s">
        <v>50</v>
      </c>
      <c r="C31" s="56" t="s">
        <v>31</v>
      </c>
      <c r="D31" s="86">
        <v>4.4999999999999998E-2</v>
      </c>
      <c r="E31" s="87"/>
      <c r="F31" s="87"/>
      <c r="G31" s="87"/>
      <c r="H31" s="87"/>
      <c r="I31" s="87"/>
      <c r="J31" s="87"/>
      <c r="K31" s="87"/>
      <c r="L31" s="87"/>
      <c r="M31" s="88"/>
      <c r="N31" s="88"/>
      <c r="O31" s="88"/>
      <c r="P31" s="88"/>
      <c r="Q31" s="88"/>
      <c r="R31" s="59"/>
      <c r="S31" s="59" t="s">
        <v>51</v>
      </c>
    </row>
    <row r="32" spans="2:19" ht="15">
      <c r="B32" s="56" t="s">
        <v>52</v>
      </c>
      <c r="C32" s="56" t="s">
        <v>31</v>
      </c>
      <c r="D32" s="88">
        <f>MIN((D30*0.6)+(D31*0.4),5.5%)</f>
        <v>5.5E-2</v>
      </c>
      <c r="E32" s="87"/>
      <c r="F32" s="87"/>
      <c r="G32" s="87"/>
      <c r="H32" s="87"/>
      <c r="I32" s="87"/>
      <c r="J32" s="87"/>
      <c r="K32" s="87"/>
      <c r="L32" s="87"/>
      <c r="M32" s="88"/>
      <c r="N32" s="88"/>
      <c r="O32" s="88"/>
      <c r="P32" s="88"/>
      <c r="Q32" s="88"/>
      <c r="R32" s="59"/>
      <c r="S32" s="59" t="s">
        <v>53</v>
      </c>
    </row>
    <row r="33" spans="2:19" ht="15">
      <c r="B33" s="56" t="s">
        <v>54</v>
      </c>
      <c r="C33" s="56" t="s">
        <v>31</v>
      </c>
      <c r="D33" s="88">
        <f>MAX(2%,D31*0.5)</f>
        <v>2.2499999999999999E-2</v>
      </c>
      <c r="E33" s="87"/>
      <c r="F33" s="87"/>
      <c r="G33" s="87"/>
      <c r="H33" s="87"/>
      <c r="I33" s="87"/>
      <c r="J33" s="87"/>
      <c r="K33" s="87"/>
      <c r="L33" s="87"/>
      <c r="M33" s="88"/>
      <c r="N33" s="88"/>
      <c r="O33" s="88"/>
      <c r="P33" s="88"/>
      <c r="Q33" s="88"/>
      <c r="R33" s="59"/>
      <c r="S33" s="59" t="s">
        <v>55</v>
      </c>
    </row>
    <row r="34" spans="2:19" ht="15">
      <c r="B34" s="56" t="s">
        <v>56</v>
      </c>
      <c r="C34" s="56" t="s">
        <v>31</v>
      </c>
      <c r="D34" s="88">
        <f>MIN(6%,D31+1.5%)</f>
        <v>0.06</v>
      </c>
      <c r="E34" s="87"/>
      <c r="F34" s="87"/>
      <c r="G34" s="87"/>
      <c r="H34" s="87"/>
      <c r="I34" s="87"/>
      <c r="J34" s="87"/>
      <c r="K34" s="87"/>
      <c r="L34" s="87"/>
      <c r="M34" s="88"/>
      <c r="N34" s="88"/>
      <c r="O34" s="88"/>
      <c r="P34" s="88"/>
      <c r="Q34" s="88"/>
      <c r="R34" s="59"/>
      <c r="S34" s="59" t="s">
        <v>57</v>
      </c>
    </row>
    <row r="35" spans="2:19" ht="15">
      <c r="B35" s="56" t="s">
        <v>58</v>
      </c>
      <c r="C35" s="56" t="s">
        <v>31</v>
      </c>
      <c r="D35" s="86">
        <v>5.0000000000000001E-3</v>
      </c>
      <c r="E35" s="87"/>
      <c r="F35" s="87"/>
      <c r="G35" s="87"/>
      <c r="H35" s="87"/>
      <c r="I35" s="87"/>
      <c r="J35" s="87"/>
      <c r="K35" s="87"/>
      <c r="L35" s="87"/>
      <c r="M35" s="88"/>
      <c r="N35" s="88"/>
      <c r="O35" s="88"/>
      <c r="P35" s="88"/>
      <c r="Q35" s="88"/>
      <c r="R35" s="59"/>
      <c r="S35" s="59" t="s">
        <v>59</v>
      </c>
    </row>
    <row r="36" spans="2:19" ht="15">
      <c r="B36" s="56" t="s">
        <v>60</v>
      </c>
      <c r="C36" s="56" t="s">
        <v>31</v>
      </c>
      <c r="D36" s="86">
        <v>0</v>
      </c>
      <c r="E36" s="87"/>
      <c r="F36" s="87"/>
      <c r="G36" s="87"/>
      <c r="H36" s="87"/>
      <c r="I36" s="87"/>
      <c r="J36" s="87"/>
      <c r="K36" s="87"/>
      <c r="L36" s="87"/>
      <c r="M36" s="88"/>
      <c r="N36" s="88"/>
      <c r="O36" s="88"/>
      <c r="P36" s="88"/>
      <c r="Q36" s="88"/>
      <c r="R36" s="59"/>
      <c r="S36" s="59" t="s">
        <v>61</v>
      </c>
    </row>
    <row r="37" spans="2:19" ht="15">
      <c r="B37" s="56" t="s">
        <v>62</v>
      </c>
      <c r="C37" s="56" t="s">
        <v>31</v>
      </c>
      <c r="D37" s="88">
        <f>MIN(D30*0.5,3%)</f>
        <v>0.03</v>
      </c>
      <c r="E37" s="87"/>
      <c r="F37" s="87"/>
      <c r="G37" s="87"/>
      <c r="H37" s="87"/>
      <c r="I37" s="87"/>
      <c r="J37" s="87"/>
      <c r="K37" s="87"/>
      <c r="L37" s="87"/>
      <c r="M37" s="88"/>
      <c r="N37" s="88"/>
      <c r="O37" s="88"/>
      <c r="P37" s="88"/>
      <c r="Q37" s="88"/>
      <c r="R37" s="59"/>
      <c r="S37" s="59" t="s">
        <v>63</v>
      </c>
    </row>
    <row r="38" spans="2:19" ht="15">
      <c r="B38" s="56" t="s">
        <v>64</v>
      </c>
      <c r="C38" s="56" t="s">
        <v>31</v>
      </c>
      <c r="D38" s="86">
        <v>2.5000000000000001E-3</v>
      </c>
      <c r="E38" s="87"/>
      <c r="F38" s="87"/>
      <c r="G38" s="87"/>
      <c r="H38" s="87"/>
      <c r="I38" s="87"/>
      <c r="J38" s="87"/>
      <c r="K38" s="87"/>
      <c r="L38" s="87"/>
      <c r="M38" s="88"/>
      <c r="N38" s="88"/>
      <c r="O38" s="88"/>
      <c r="P38" s="88"/>
      <c r="Q38" s="88"/>
      <c r="R38" s="59"/>
      <c r="S38" s="59" t="s">
        <v>65</v>
      </c>
    </row>
    <row r="39" spans="2:19" ht="15">
      <c r="B39" s="56" t="s">
        <v>66</v>
      </c>
      <c r="C39" s="56" t="s">
        <v>31</v>
      </c>
      <c r="D39" s="86">
        <v>0.82</v>
      </c>
      <c r="E39" s="87"/>
      <c r="F39" s="87"/>
      <c r="G39" s="87"/>
      <c r="H39" s="87"/>
      <c r="I39" s="87"/>
      <c r="J39" s="87"/>
      <c r="K39" s="87"/>
      <c r="L39" s="87"/>
      <c r="M39" s="88"/>
      <c r="N39" s="88"/>
      <c r="O39" s="88"/>
      <c r="P39" s="88"/>
      <c r="Q39" s="88"/>
      <c r="R39" s="59"/>
      <c r="S39" s="59" t="s">
        <v>67</v>
      </c>
    </row>
    <row r="40" spans="2:19" ht="15">
      <c r="B40" s="56" t="s">
        <v>68</v>
      </c>
      <c r="C40" s="56" t="s">
        <v>31</v>
      </c>
      <c r="D40" s="88">
        <f>MIN(0.75%,('Historical Dataset'!N20-'Historical Dataset'!M20)/2)</f>
        <v>7.4999999999999997E-3</v>
      </c>
      <c r="E40" s="87"/>
      <c r="F40" s="87"/>
      <c r="G40" s="87"/>
      <c r="H40" s="87"/>
      <c r="I40" s="87"/>
      <c r="J40" s="87"/>
      <c r="K40" s="87"/>
      <c r="L40" s="87"/>
      <c r="M40" s="88"/>
      <c r="N40" s="88"/>
      <c r="O40" s="88"/>
      <c r="P40" s="88"/>
      <c r="Q40" s="88"/>
      <c r="R40" s="59"/>
      <c r="S40" s="59" t="s">
        <v>69</v>
      </c>
    </row>
    <row r="41" spans="2:19" ht="15">
      <c r="B41" s="56" t="s">
        <v>70</v>
      </c>
      <c r="C41" s="56" t="s">
        <v>31</v>
      </c>
      <c r="D41" s="86">
        <v>7.0000000000000007E-2</v>
      </c>
      <c r="E41" s="87"/>
      <c r="F41" s="87"/>
      <c r="G41" s="87"/>
      <c r="H41" s="87"/>
      <c r="I41" s="87"/>
      <c r="J41" s="87"/>
      <c r="K41" s="87"/>
      <c r="L41" s="87"/>
      <c r="M41" s="88"/>
      <c r="N41" s="88"/>
      <c r="O41" s="88"/>
      <c r="P41" s="88"/>
      <c r="Q41" s="88"/>
      <c r="R41" s="59"/>
      <c r="S41" s="59" t="s">
        <v>71</v>
      </c>
    </row>
    <row r="42" spans="2:19" ht="15">
      <c r="B42" s="56" t="s">
        <v>72</v>
      </c>
      <c r="C42" s="56" t="s">
        <v>31</v>
      </c>
      <c r="D42" s="86">
        <v>5.0000000000000001E-3</v>
      </c>
      <c r="E42" s="87"/>
      <c r="F42" s="87"/>
      <c r="G42" s="87"/>
      <c r="H42" s="87"/>
      <c r="I42" s="87"/>
      <c r="J42" s="87"/>
      <c r="K42" s="87"/>
      <c r="L42" s="87"/>
      <c r="M42" s="88"/>
      <c r="N42" s="88"/>
      <c r="O42" s="88"/>
      <c r="P42" s="88"/>
      <c r="Q42" s="88"/>
      <c r="R42" s="59"/>
      <c r="S42" s="59" t="s">
        <v>73</v>
      </c>
    </row>
    <row r="43" spans="2:19" ht="15">
      <c r="B43" s="56" t="s">
        <v>74</v>
      </c>
      <c r="C43" s="56" t="s">
        <v>31</v>
      </c>
      <c r="D43" s="88">
        <f>D30*0.5</f>
        <v>3.2000000000000001E-2</v>
      </c>
      <c r="E43" s="87"/>
      <c r="F43" s="87"/>
      <c r="G43" s="87"/>
      <c r="H43" s="87"/>
      <c r="I43" s="87"/>
      <c r="J43" s="87"/>
      <c r="K43" s="87"/>
      <c r="L43" s="87"/>
      <c r="M43" s="88"/>
      <c r="N43" s="88"/>
      <c r="O43" s="88"/>
      <c r="P43" s="88"/>
      <c r="Q43" s="88"/>
      <c r="R43" s="59"/>
      <c r="S43" s="59" t="s">
        <v>75</v>
      </c>
    </row>
    <row r="44" spans="2:19" ht="15">
      <c r="B44" s="56" t="s">
        <v>76</v>
      </c>
      <c r="C44" s="56" t="s">
        <v>31</v>
      </c>
      <c r="D44" s="88">
        <f>D30*0.65</f>
        <v>4.1600000000000005E-2</v>
      </c>
      <c r="E44" s="87"/>
      <c r="F44" s="87"/>
      <c r="G44" s="87"/>
      <c r="H44" s="87"/>
      <c r="I44" s="87"/>
      <c r="J44" s="87"/>
      <c r="K44" s="87"/>
      <c r="L44" s="87"/>
      <c r="M44" s="88"/>
      <c r="N44" s="88"/>
      <c r="O44" s="88"/>
      <c r="P44" s="88"/>
      <c r="Q44" s="88"/>
      <c r="R44" s="59"/>
      <c r="S44" s="59" t="s">
        <v>77</v>
      </c>
    </row>
    <row r="45" spans="2:19" ht="15">
      <c r="B45" s="56" t="s">
        <v>78</v>
      </c>
      <c r="C45" s="56" t="s">
        <v>31</v>
      </c>
      <c r="D45" s="88">
        <f>AVERAGE(ABS('Historical Dataset'!H109/'Historical Dataset'!H71),ABS('Historical Dataset'!I109/'Historical Dataset'!I71),ABS('Historical Dataset'!J109/'Historical Dataset'!J71),ABS('Historical Dataset'!L109/'Historical Dataset'!L71),ABS('Historical Dataset'!M109/'Historical Dataset'!M71))</f>
        <v>1.1053388925484148E-2</v>
      </c>
      <c r="E45" s="87"/>
      <c r="F45" s="87"/>
      <c r="G45" s="87"/>
      <c r="H45" s="87"/>
      <c r="I45" s="87"/>
      <c r="J45" s="87"/>
      <c r="K45" s="87"/>
      <c r="L45" s="87"/>
      <c r="M45" s="88"/>
      <c r="N45" s="88"/>
      <c r="O45" s="88"/>
      <c r="P45" s="88"/>
      <c r="Q45" s="88"/>
      <c r="R45" s="59"/>
      <c r="S45" s="59" t="s">
        <v>79</v>
      </c>
    </row>
    <row r="46" spans="2:19" ht="15">
      <c r="B46" s="56" t="s">
        <v>80</v>
      </c>
      <c r="C46" s="56" t="s">
        <v>31</v>
      </c>
      <c r="D46" s="88">
        <f>AVERAGE('Historical Dataset'!L220/'Historical Dataset'!L71,'Historical Dataset'!M220/'Historical Dataset'!M71,'Historical Dataset'!N220/'Historical Dataset'!N71)</f>
        <v>0.10494765602140586</v>
      </c>
      <c r="E46" s="87"/>
      <c r="F46" s="87"/>
      <c r="G46" s="87"/>
      <c r="H46" s="87"/>
      <c r="I46" s="87"/>
      <c r="J46" s="87"/>
      <c r="K46" s="87"/>
      <c r="L46" s="87"/>
      <c r="M46" s="88"/>
      <c r="N46" s="88"/>
      <c r="O46" s="88"/>
      <c r="P46" s="88"/>
      <c r="Q46" s="88"/>
      <c r="R46" s="59"/>
      <c r="S46" s="59" t="s">
        <v>81</v>
      </c>
    </row>
    <row r="47" spans="2:19" ht="15">
      <c r="B47" s="56" t="s">
        <v>82</v>
      </c>
      <c r="C47" s="56" t="s">
        <v>31</v>
      </c>
      <c r="D47" s="88">
        <f>AVERAGE(ABS('Historical Dataset'!L221/'Historical Dataset'!K219),ABS('Historical Dataset'!M221/'Historical Dataset'!L219),ABS('Historical Dataset'!N221/'Historical Dataset'!M219))</f>
        <v>6.1851890053569926E-2</v>
      </c>
      <c r="E47" s="87"/>
      <c r="F47" s="87"/>
      <c r="G47" s="87"/>
      <c r="H47" s="87"/>
      <c r="I47" s="87"/>
      <c r="J47" s="87"/>
      <c r="K47" s="87"/>
      <c r="L47" s="87"/>
      <c r="M47" s="88"/>
      <c r="N47" s="88"/>
      <c r="O47" s="88"/>
      <c r="P47" s="88"/>
      <c r="Q47" s="88"/>
      <c r="R47" s="59"/>
      <c r="S47" s="59" t="s">
        <v>83</v>
      </c>
    </row>
    <row r="48" spans="2:19" ht="15">
      <c r="B48" s="56" t="s">
        <v>84</v>
      </c>
      <c r="C48" s="56" t="s">
        <v>85</v>
      </c>
      <c r="D48" s="84">
        <f>AVERAGE('Historical Dataset'!L215:N215)</f>
        <v>109.13790246016765</v>
      </c>
      <c r="E48" s="85"/>
      <c r="F48" s="85"/>
      <c r="G48" s="85"/>
      <c r="H48" s="85"/>
      <c r="I48" s="85"/>
      <c r="J48" s="85"/>
      <c r="K48" s="85"/>
      <c r="L48" s="85"/>
      <c r="M48" s="84"/>
      <c r="N48" s="84"/>
      <c r="O48" s="84"/>
      <c r="P48" s="84"/>
      <c r="Q48" s="84"/>
      <c r="R48" s="59"/>
      <c r="S48" s="59" t="s">
        <v>86</v>
      </c>
    </row>
    <row r="49" spans="1:19" ht="15">
      <c r="B49" s="56" t="s">
        <v>87</v>
      </c>
      <c r="C49" s="56" t="s">
        <v>85</v>
      </c>
      <c r="D49" s="84">
        <f>AVERAGE('Historical Dataset'!L216:N216)</f>
        <v>24.903488044411215</v>
      </c>
      <c r="E49" s="85"/>
      <c r="F49" s="85"/>
      <c r="G49" s="85"/>
      <c r="H49" s="85"/>
      <c r="I49" s="85"/>
      <c r="J49" s="85"/>
      <c r="K49" s="85"/>
      <c r="L49" s="85"/>
      <c r="M49" s="84"/>
      <c r="N49" s="84"/>
      <c r="O49" s="84"/>
      <c r="P49" s="84"/>
      <c r="Q49" s="84"/>
      <c r="R49" s="59"/>
      <c r="S49" s="59" t="s">
        <v>88</v>
      </c>
    </row>
    <row r="50" spans="1:19" ht="15">
      <c r="B50" s="56" t="s">
        <v>89</v>
      </c>
      <c r="C50" s="56" t="s">
        <v>85</v>
      </c>
      <c r="D50" s="84">
        <f>AVERAGE('Historical Dataset'!L217:N217)</f>
        <v>229.57498865387154</v>
      </c>
      <c r="E50" s="85"/>
      <c r="F50" s="85"/>
      <c r="G50" s="85"/>
      <c r="H50" s="85"/>
      <c r="I50" s="85"/>
      <c r="J50" s="85"/>
      <c r="K50" s="85"/>
      <c r="L50" s="85"/>
      <c r="M50" s="84"/>
      <c r="N50" s="84"/>
      <c r="O50" s="84"/>
      <c r="P50" s="84"/>
      <c r="Q50" s="84"/>
      <c r="R50" s="59"/>
      <c r="S50" s="59" t="s">
        <v>90</v>
      </c>
    </row>
    <row r="51" spans="1:19" ht="15">
      <c r="B51" s="56" t="s">
        <v>91</v>
      </c>
      <c r="C51" s="56" t="s">
        <v>31</v>
      </c>
      <c r="D51" s="88">
        <f>MIN(MAX(('Historical Dataset'!M228-'Historical Dataset'!N228)/'Historical Dataset'!M228,5%),12%)</f>
        <v>0.11003894931115343</v>
      </c>
      <c r="E51" s="87"/>
      <c r="F51" s="87"/>
      <c r="G51" s="87"/>
      <c r="H51" s="87"/>
      <c r="I51" s="87"/>
      <c r="J51" s="87"/>
      <c r="K51" s="87"/>
      <c r="L51" s="87"/>
      <c r="M51" s="88"/>
      <c r="N51" s="88"/>
      <c r="O51" s="88"/>
      <c r="P51" s="88"/>
      <c r="Q51" s="88"/>
      <c r="R51" s="59"/>
      <c r="S51" s="59" t="s">
        <v>92</v>
      </c>
    </row>
    <row r="52" spans="1:19" ht="15">
      <c r="B52" s="56" t="s">
        <v>93</v>
      </c>
      <c r="C52" s="56" t="s">
        <v>31</v>
      </c>
      <c r="D52" s="88">
        <f>MIN(MAX(ABS('Historical Dataset'!N268/'Historical Dataset'!N125),5%),45%)</f>
        <v>7.1784611831880493E-2</v>
      </c>
      <c r="E52" s="87"/>
      <c r="F52" s="87"/>
      <c r="G52" s="87"/>
      <c r="H52" s="87"/>
      <c r="I52" s="87"/>
      <c r="J52" s="87"/>
      <c r="K52" s="87"/>
      <c r="L52" s="87"/>
      <c r="M52" s="88"/>
      <c r="N52" s="88"/>
      <c r="O52" s="88"/>
      <c r="P52" s="88"/>
      <c r="Q52" s="88"/>
      <c r="R52" s="59"/>
      <c r="S52" s="59" t="s">
        <v>94</v>
      </c>
    </row>
    <row r="53" spans="1:19" ht="15">
      <c r="B53" s="56" t="s">
        <v>95</v>
      </c>
      <c r="C53" s="56" t="s">
        <v>31</v>
      </c>
      <c r="D53" s="86">
        <v>0.45</v>
      </c>
      <c r="E53" s="87"/>
      <c r="F53" s="87"/>
      <c r="G53" s="87"/>
      <c r="H53" s="87"/>
      <c r="I53" s="87"/>
      <c r="J53" s="87"/>
      <c r="K53" s="87"/>
      <c r="L53" s="87"/>
      <c r="M53" s="88"/>
      <c r="N53" s="88"/>
      <c r="O53" s="88"/>
      <c r="P53" s="88"/>
      <c r="Q53" s="88"/>
      <c r="R53" s="59"/>
      <c r="S53" s="59" t="s">
        <v>96</v>
      </c>
    </row>
    <row r="54" spans="1:19" ht="15">
      <c r="B54" s="56" t="s">
        <v>97</v>
      </c>
      <c r="C54" s="56" t="s">
        <v>31</v>
      </c>
      <c r="D54" s="86">
        <v>0.15</v>
      </c>
      <c r="E54" s="87"/>
      <c r="F54" s="87"/>
      <c r="G54" s="87"/>
      <c r="H54" s="87"/>
      <c r="I54" s="87"/>
      <c r="J54" s="87"/>
      <c r="K54" s="87"/>
      <c r="L54" s="87"/>
      <c r="M54" s="88"/>
      <c r="N54" s="88"/>
      <c r="O54" s="88"/>
      <c r="P54" s="88"/>
      <c r="Q54" s="88"/>
      <c r="R54" s="59"/>
      <c r="S54" s="59" t="s">
        <v>98</v>
      </c>
    </row>
    <row r="55" spans="1:19" ht="15">
      <c r="B55" s="56" t="s">
        <v>99</v>
      </c>
      <c r="C55" s="56" t="s">
        <v>31</v>
      </c>
      <c r="D55" s="86">
        <v>0.1</v>
      </c>
      <c r="E55" s="87"/>
      <c r="F55" s="87"/>
      <c r="G55" s="87"/>
      <c r="H55" s="87"/>
      <c r="I55" s="87"/>
      <c r="J55" s="87"/>
      <c r="K55" s="87"/>
      <c r="L55" s="87"/>
      <c r="M55" s="88"/>
      <c r="N55" s="88"/>
      <c r="O55" s="88"/>
      <c r="P55" s="88"/>
      <c r="Q55" s="88"/>
      <c r="R55" s="59"/>
      <c r="S55" s="59" t="s">
        <v>100</v>
      </c>
    </row>
    <row r="56" spans="1:19" ht="15">
      <c r="B56" s="56" t="s">
        <v>101</v>
      </c>
      <c r="C56" s="56" t="s">
        <v>31</v>
      </c>
      <c r="D56" s="86">
        <v>0.3</v>
      </c>
      <c r="E56" s="87"/>
      <c r="F56" s="87"/>
      <c r="G56" s="87"/>
      <c r="H56" s="87"/>
      <c r="I56" s="87"/>
      <c r="J56" s="87"/>
      <c r="K56" s="87"/>
      <c r="L56" s="87"/>
      <c r="M56" s="88"/>
      <c r="N56" s="88"/>
      <c r="O56" s="88"/>
      <c r="P56" s="88"/>
      <c r="Q56" s="88"/>
      <c r="R56" s="59"/>
      <c r="S56" s="59" t="s">
        <v>102</v>
      </c>
    </row>
    <row r="57" spans="1:19" ht="15">
      <c r="B57" s="56" t="s">
        <v>103</v>
      </c>
      <c r="C57" s="56" t="s">
        <v>31</v>
      </c>
      <c r="D57" s="86">
        <v>0.8</v>
      </c>
      <c r="E57" s="87"/>
      <c r="F57" s="87"/>
      <c r="G57" s="87"/>
      <c r="H57" s="87"/>
      <c r="I57" s="87"/>
      <c r="J57" s="87"/>
      <c r="K57" s="87"/>
      <c r="L57" s="87"/>
      <c r="M57" s="88"/>
      <c r="N57" s="88"/>
      <c r="O57" s="88"/>
      <c r="P57" s="88"/>
      <c r="Q57" s="88"/>
      <c r="R57" s="59"/>
      <c r="S57" s="59" t="s">
        <v>104</v>
      </c>
    </row>
    <row r="58" spans="1:19" ht="9.75" customHeight="1">
      <c r="B58" s="56"/>
      <c r="C58" s="56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8"/>
      <c r="O58" s="58"/>
      <c r="P58" s="58"/>
      <c r="Q58" s="58"/>
      <c r="R58" s="59"/>
      <c r="S58" s="59"/>
    </row>
    <row r="59" spans="1:19" ht="20.25" customHeight="1">
      <c r="A59" s="102"/>
      <c r="B59" s="138" t="s">
        <v>105</v>
      </c>
      <c r="C59" s="139"/>
      <c r="D59" s="133">
        <v>43100</v>
      </c>
      <c r="E59" s="134">
        <f>EOMONTH(D59,12)</f>
        <v>43465</v>
      </c>
      <c r="F59" s="134">
        <f t="shared" ref="F59:L59" si="0">EOMONTH(E59,12)</f>
        <v>43830</v>
      </c>
      <c r="G59" s="134">
        <f t="shared" si="0"/>
        <v>44196</v>
      </c>
      <c r="H59" s="134">
        <f t="shared" si="0"/>
        <v>44561</v>
      </c>
      <c r="I59" s="134">
        <f t="shared" si="0"/>
        <v>44926</v>
      </c>
      <c r="J59" s="134">
        <f t="shared" si="0"/>
        <v>45291</v>
      </c>
      <c r="K59" s="134">
        <f t="shared" si="0"/>
        <v>45657</v>
      </c>
      <c r="L59" s="135">
        <f t="shared" si="0"/>
        <v>46022</v>
      </c>
      <c r="M59" s="140">
        <f t="shared" ref="M59" si="1">EOMONTH(L59,12)</f>
        <v>46387</v>
      </c>
      <c r="N59" s="140">
        <f t="shared" ref="N59" si="2">EOMONTH(M59,12)</f>
        <v>46752</v>
      </c>
      <c r="O59" s="140">
        <f t="shared" ref="O59" si="3">EOMONTH(N59,12)</f>
        <v>47118</v>
      </c>
      <c r="P59" s="140">
        <f t="shared" ref="P59:Q59" si="4">EOMONTH(O59,12)</f>
        <v>47483</v>
      </c>
      <c r="Q59" s="141">
        <f t="shared" si="4"/>
        <v>47848</v>
      </c>
      <c r="R59" s="126"/>
      <c r="S59" s="126"/>
    </row>
    <row r="60" spans="1:19" ht="15">
      <c r="A60" s="102"/>
      <c r="B60" s="183" t="s">
        <v>106</v>
      </c>
      <c r="C60" s="184" t="s">
        <v>19</v>
      </c>
      <c r="D60" s="136" t="s">
        <v>107</v>
      </c>
      <c r="E60" s="19" t="s">
        <v>108</v>
      </c>
      <c r="F60" s="19" t="s">
        <v>109</v>
      </c>
      <c r="G60" s="19" t="s">
        <v>110</v>
      </c>
      <c r="H60" s="19" t="s">
        <v>111</v>
      </c>
      <c r="I60" s="19" t="s">
        <v>112</v>
      </c>
      <c r="J60" s="19" t="s">
        <v>113</v>
      </c>
      <c r="K60" s="106" t="s">
        <v>114</v>
      </c>
      <c r="L60" s="137" t="s">
        <v>115</v>
      </c>
      <c r="M60" s="185" t="s">
        <v>116</v>
      </c>
      <c r="N60" s="186" t="s">
        <v>117</v>
      </c>
      <c r="O60" s="186" t="s">
        <v>118</v>
      </c>
      <c r="P60" s="186" t="s">
        <v>119</v>
      </c>
      <c r="Q60" s="187" t="s">
        <v>120</v>
      </c>
      <c r="R60" s="121"/>
      <c r="S60" s="121"/>
    </row>
    <row r="61" spans="1:19" s="111" customFormat="1" ht="15">
      <c r="A61" s="112"/>
      <c r="B61" s="143" t="s">
        <v>121</v>
      </c>
      <c r="C61" s="118" t="s">
        <v>122</v>
      </c>
      <c r="D61" s="119">
        <f>D64+D68+D72+D76+D80+D84+D88</f>
        <v>8231</v>
      </c>
      <c r="E61" s="119">
        <f>E64+E68+E72+E76+E80+E84+E88</f>
        <v>8425</v>
      </c>
      <c r="F61" s="119">
        <f>F64+F68+F72+F76+F80+F84+F88</f>
        <v>8768</v>
      </c>
      <c r="G61" s="119">
        <f>G64+G68+G72+G76+G80+G84+G88</f>
        <v>8775</v>
      </c>
      <c r="H61" s="119">
        <f>H64+H68+H72+H76+H80+H84+H88</f>
        <v>9203</v>
      </c>
      <c r="I61" s="119">
        <f>I64+I68+I72+I76+I80+I84+I88</f>
        <v>9814</v>
      </c>
      <c r="J61" s="119">
        <f>J64+J68+J72+J76+J80+J84+J88</f>
        <v>10232</v>
      </c>
      <c r="K61" s="119">
        <f>K64+K68+K72+K76+K80+K84+K88</f>
        <v>10516.24</v>
      </c>
      <c r="L61" s="119">
        <f>L64+L68+L72+L76+L80+L84+L88</f>
        <v>11402.88</v>
      </c>
      <c r="M61" s="188">
        <f>M64+M68+M72+M76+M80+M84+M88</f>
        <v>11964.480122697392</v>
      </c>
      <c r="N61" s="188">
        <f>N64+N68+N72+N76+N80+N84+N88</f>
        <v>12494.03199784133</v>
      </c>
      <c r="O61" s="188">
        <f>O64+O68+O72+O76+O80+O84+O88</f>
        <v>12984.672797380757</v>
      </c>
      <c r="P61" s="188">
        <f>P64+P68+P72+P76+P80+P84+P88</f>
        <v>13429.784359022347</v>
      </c>
      <c r="Q61" s="189">
        <f>Q64+Q68+Q72+Q76+Q80+Q84+Q88</f>
        <v>13823.137327042328</v>
      </c>
      <c r="R61" s="126"/>
      <c r="S61" s="126"/>
    </row>
    <row r="62" spans="1:19" s="123" customFormat="1" ht="15">
      <c r="A62" s="132"/>
      <c r="B62" s="146" t="s">
        <v>123</v>
      </c>
      <c r="C62" s="122" t="s">
        <v>31</v>
      </c>
      <c r="D62" s="124"/>
      <c r="E62" s="124">
        <f t="shared" ref="E62:Q62" si="5">IFERROR(E61/D61-1,"")</f>
        <v>2.3569432632729814E-2</v>
      </c>
      <c r="F62" s="124">
        <f t="shared" si="5"/>
        <v>4.0712166172106823E-2</v>
      </c>
      <c r="G62" s="124">
        <f t="shared" si="5"/>
        <v>7.9835766423363985E-4</v>
      </c>
      <c r="H62" s="124">
        <f t="shared" si="5"/>
        <v>4.8774928774928838E-2</v>
      </c>
      <c r="I62" s="124">
        <f t="shared" si="5"/>
        <v>6.6391394110616009E-2</v>
      </c>
      <c r="J62" s="124">
        <f t="shared" si="5"/>
        <v>4.2592215202771566E-2</v>
      </c>
      <c r="K62" s="124">
        <f t="shared" si="5"/>
        <v>2.7779515246286079E-2</v>
      </c>
      <c r="L62" s="124">
        <f t="shared" si="5"/>
        <v>8.4311502970643382E-2</v>
      </c>
      <c r="M62" s="125">
        <f>IFERROR(M61/L61-1,"")</f>
        <v>4.9250726368899267E-2</v>
      </c>
      <c r="N62" s="125">
        <f t="shared" si="5"/>
        <v>4.4260333061972634E-2</v>
      </c>
      <c r="O62" s="125">
        <f t="shared" si="5"/>
        <v>3.9270013044964136E-2</v>
      </c>
      <c r="P62" s="125">
        <f t="shared" si="5"/>
        <v>3.4279767275412265E-2</v>
      </c>
      <c r="Q62" s="147">
        <f t="shared" si="5"/>
        <v>2.928959672801601E-2</v>
      </c>
      <c r="R62" s="121"/>
      <c r="S62" s="121"/>
    </row>
    <row r="63" spans="1:19" s="123" customFormat="1" ht="15">
      <c r="A63" s="132"/>
      <c r="B63" s="146"/>
      <c r="C63" s="122"/>
      <c r="D63" s="124"/>
      <c r="E63" s="124"/>
      <c r="F63" s="124"/>
      <c r="G63" s="124"/>
      <c r="H63" s="124"/>
      <c r="I63" s="124"/>
      <c r="J63" s="124"/>
      <c r="K63" s="124"/>
      <c r="L63" s="124"/>
      <c r="M63" s="125"/>
      <c r="N63" s="125"/>
      <c r="O63" s="125"/>
      <c r="P63" s="125"/>
      <c r="Q63" s="147"/>
      <c r="R63" s="126"/>
      <c r="S63" s="126"/>
    </row>
    <row r="64" spans="1:19" s="111" customFormat="1" ht="15">
      <c r="A64" s="112"/>
      <c r="B64" s="143" t="s">
        <v>124</v>
      </c>
      <c r="C64" s="118" t="s">
        <v>122</v>
      </c>
      <c r="D64" s="119">
        <f>'Historical Dataset'!F39</f>
        <v>2138</v>
      </c>
      <c r="E64" s="119">
        <f>'Historical Dataset'!G39</f>
        <v>2335</v>
      </c>
      <c r="F64" s="119">
        <f>'Historical Dataset'!H39</f>
        <v>2366</v>
      </c>
      <c r="G64" s="119">
        <f>'Historical Dataset'!I39</f>
        <v>2508</v>
      </c>
      <c r="H64" s="119">
        <f>'Historical Dataset'!J39</f>
        <v>2630</v>
      </c>
      <c r="I64" s="119">
        <f>'Historical Dataset'!K39</f>
        <v>2728</v>
      </c>
      <c r="J64" s="119">
        <f>'Historical Dataset'!L39</f>
        <v>2798</v>
      </c>
      <c r="K64" s="119">
        <f>'Historical Dataset'!M39</f>
        <v>2769</v>
      </c>
      <c r="L64" s="119">
        <f>'Historical Dataset'!N39</f>
        <v>3104</v>
      </c>
      <c r="M64" s="148">
        <f>L64*(1+M65)</f>
        <v>3245.0018715336032</v>
      </c>
      <c r="N64" s="148">
        <f>M64*(1+N65)</f>
        <v>3376.1838650806649</v>
      </c>
      <c r="O64" s="148">
        <f>N64*(1+O65)</f>
        <v>3495.7880842964582</v>
      </c>
      <c r="P64" s="148">
        <f>O64*(1+P65)</f>
        <v>3602.1504454967885</v>
      </c>
      <c r="Q64" s="149">
        <f>P64*(1+Q65)</f>
        <v>3693.7382208525255</v>
      </c>
      <c r="R64" s="121"/>
      <c r="S64" s="121"/>
    </row>
    <row r="65" spans="1:41" ht="15">
      <c r="A65" s="132"/>
      <c r="B65" s="146" t="s">
        <v>123</v>
      </c>
      <c r="C65" s="122" t="s">
        <v>31</v>
      </c>
      <c r="D65" s="124"/>
      <c r="E65" s="124">
        <f t="shared" ref="E65:L65" si="6">IFERROR(E64/D64-1,"")</f>
        <v>9.2142188961646498E-2</v>
      </c>
      <c r="F65" s="124">
        <f t="shared" si="6"/>
        <v>1.3276231263383398E-2</v>
      </c>
      <c r="G65" s="124">
        <f t="shared" si="6"/>
        <v>6.0016906170752282E-2</v>
      </c>
      <c r="H65" s="124">
        <f t="shared" si="6"/>
        <v>4.8644338118022379E-2</v>
      </c>
      <c r="I65" s="124">
        <f t="shared" si="6"/>
        <v>3.726235741444861E-2</v>
      </c>
      <c r="J65" s="124">
        <f t="shared" si="6"/>
        <v>2.5659824046920798E-2</v>
      </c>
      <c r="K65" s="124">
        <f t="shared" si="6"/>
        <v>-1.0364546104360217E-2</v>
      </c>
      <c r="L65" s="124">
        <f t="shared" si="6"/>
        <v>0.12098230408089572</v>
      </c>
      <c r="M65" s="150">
        <f>IFERROR(MAX(MIN(AVERAGE(J65:L65),D34),D33),0)</f>
        <v>4.5425860674485431E-2</v>
      </c>
      <c r="N65" s="150">
        <f>MAX(MIN(M65-D35,D34),D33)</f>
        <v>4.0425860674485434E-2</v>
      </c>
      <c r="O65" s="150">
        <f>MAX(MIN(N65-D35,D34),D33)</f>
        <v>3.5425860674485436E-2</v>
      </c>
      <c r="P65" s="150">
        <f>MAX(MIN(O65-D35,D34),D33)</f>
        <v>3.0425860674485435E-2</v>
      </c>
      <c r="Q65" s="151">
        <f>MAX(MIN(P65-D35,D34),D33)</f>
        <v>2.5425860674485434E-2</v>
      </c>
      <c r="R65" s="126"/>
      <c r="S65" s="126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</row>
    <row r="66" spans="1:41" ht="15">
      <c r="A66" s="132"/>
      <c r="B66" s="146" t="s">
        <v>125</v>
      </c>
      <c r="C66" s="122" t="s">
        <v>31</v>
      </c>
      <c r="D66" s="124">
        <f t="shared" ref="D66:Q66" si="7">IFERROR(D64/D61,"")</f>
        <v>0.25974972664317825</v>
      </c>
      <c r="E66" s="124">
        <f t="shared" si="7"/>
        <v>0.27715133531157271</v>
      </c>
      <c r="F66" s="124">
        <f t="shared" si="7"/>
        <v>0.2698448905109489</v>
      </c>
      <c r="G66" s="124">
        <f t="shared" si="7"/>
        <v>0.28581196581196583</v>
      </c>
      <c r="H66" s="124">
        <f t="shared" si="7"/>
        <v>0.28577637726828209</v>
      </c>
      <c r="I66" s="124">
        <f t="shared" si="7"/>
        <v>0.2779702465865091</v>
      </c>
      <c r="J66" s="124">
        <f t="shared" si="7"/>
        <v>0.27345582486317438</v>
      </c>
      <c r="K66" s="124">
        <f t="shared" si="7"/>
        <v>0.26330703749629147</v>
      </c>
      <c r="L66" s="124">
        <f t="shared" si="7"/>
        <v>0.27221193242408936</v>
      </c>
      <c r="M66" s="125">
        <f t="shared" si="7"/>
        <v>0.27121962995931809</v>
      </c>
      <c r="N66" s="125">
        <f t="shared" si="7"/>
        <v>0.27022372486832025</v>
      </c>
      <c r="O66" s="125">
        <f t="shared" si="7"/>
        <v>0.26922419523745117</v>
      </c>
      <c r="P66" s="125">
        <f t="shared" si="7"/>
        <v>0.26822101898284056</v>
      </c>
      <c r="Q66" s="147">
        <f t="shared" si="7"/>
        <v>0.26721417384940771</v>
      </c>
      <c r="R66" s="121"/>
      <c r="S66" s="121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</row>
    <row r="67" spans="1:41" ht="15">
      <c r="A67" s="132"/>
      <c r="B67" s="146"/>
      <c r="C67" s="122"/>
      <c r="D67" s="124"/>
      <c r="E67" s="124"/>
      <c r="F67" s="124"/>
      <c r="G67" s="124"/>
      <c r="H67" s="124"/>
      <c r="I67" s="124"/>
      <c r="J67" s="124"/>
      <c r="K67" s="124"/>
      <c r="L67" s="124"/>
      <c r="M67" s="125"/>
      <c r="N67" s="125"/>
      <c r="O67" s="125"/>
      <c r="P67" s="125"/>
      <c r="Q67" s="147"/>
      <c r="R67" s="126"/>
      <c r="S67" s="126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</row>
    <row r="68" spans="1:41" s="111" customFormat="1" ht="15">
      <c r="A68" s="112"/>
      <c r="B68" s="143" t="s">
        <v>126</v>
      </c>
      <c r="C68" s="118" t="s">
        <v>122</v>
      </c>
      <c r="D68" s="119">
        <f>'Historical Dataset'!F42</f>
        <v>1201</v>
      </c>
      <c r="E68" s="119">
        <f>'Historical Dataset'!G42</f>
        <v>1222</v>
      </c>
      <c r="F68" s="119">
        <f>'Historical Dataset'!H42</f>
        <v>1250</v>
      </c>
      <c r="G68" s="119">
        <f>'Historical Dataset'!I42</f>
        <v>1262</v>
      </c>
      <c r="H68" s="119">
        <f>'Historical Dataset'!J42</f>
        <v>1326</v>
      </c>
      <c r="I68" s="119">
        <f>'Historical Dataset'!K42</f>
        <v>1474</v>
      </c>
      <c r="J68" s="119">
        <f>'Historical Dataset'!L42</f>
        <v>1504</v>
      </c>
      <c r="K68" s="119">
        <f>'Historical Dataset'!M42</f>
        <v>1526</v>
      </c>
      <c r="L68" s="119">
        <f>'Historical Dataset'!N42</f>
        <v>1710</v>
      </c>
      <c r="M68" s="148">
        <f>L68*(1+M69)</f>
        <v>1798.6675539292996</v>
      </c>
      <c r="N68" s="148">
        <f>M68*(1+N69)</f>
        <v>1882.9393929660321</v>
      </c>
      <c r="O68" s="148">
        <f>N68*(1+O69)</f>
        <v>1961.7448704816456</v>
      </c>
      <c r="P68" s="148">
        <f>O68*(1+P69)</f>
        <v>2034.0398197045138</v>
      </c>
      <c r="Q68" s="149">
        <f>P68*(1+Q69)</f>
        <v>2098.8288100987234</v>
      </c>
      <c r="R68" s="121"/>
      <c r="S68" s="121"/>
    </row>
    <row r="69" spans="1:41" ht="15">
      <c r="A69" s="132"/>
      <c r="B69" s="146" t="s">
        <v>123</v>
      </c>
      <c r="C69" s="122" t="s">
        <v>31</v>
      </c>
      <c r="D69" s="124"/>
      <c r="E69" s="124">
        <f t="shared" ref="E69:L69" si="8">IFERROR(E68/D68-1,"")</f>
        <v>1.7485428809325576E-2</v>
      </c>
      <c r="F69" s="124">
        <f t="shared" si="8"/>
        <v>2.2913256955810146E-2</v>
      </c>
      <c r="G69" s="124">
        <f t="shared" si="8"/>
        <v>9.6000000000000529E-3</v>
      </c>
      <c r="H69" s="124">
        <f t="shared" si="8"/>
        <v>5.0713153724247118E-2</v>
      </c>
      <c r="I69" s="124">
        <f t="shared" si="8"/>
        <v>0.11161387631975872</v>
      </c>
      <c r="J69" s="124">
        <f t="shared" si="8"/>
        <v>2.0352781546811416E-2</v>
      </c>
      <c r="K69" s="124">
        <f t="shared" si="8"/>
        <v>1.4627659574468099E-2</v>
      </c>
      <c r="L69" s="124">
        <f t="shared" si="8"/>
        <v>0.12057667103538661</v>
      </c>
      <c r="M69" s="150">
        <f>IFERROR(MAX(MIN(AVERAGE(J69:L69),D34),D33),0)</f>
        <v>5.1852370718888707E-2</v>
      </c>
      <c r="N69" s="150">
        <f>MAX(MIN(M69-D35,D34),D33)</f>
        <v>4.685237071888871E-2</v>
      </c>
      <c r="O69" s="150">
        <f>MAX(MIN(N69-D35,D34),D33)</f>
        <v>4.1852370718888712E-2</v>
      </c>
      <c r="P69" s="150">
        <f>MAX(MIN(O69-D35,D34),D33)</f>
        <v>3.6852370718888715E-2</v>
      </c>
      <c r="Q69" s="151">
        <f>MAX(MIN(P69-D35,D34),D33)</f>
        <v>3.1852370718888717E-2</v>
      </c>
      <c r="R69" s="126"/>
      <c r="S69" s="126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</row>
    <row r="70" spans="1:41" ht="15">
      <c r="A70" s="132"/>
      <c r="B70" s="146" t="s">
        <v>125</v>
      </c>
      <c r="C70" s="122" t="s">
        <v>31</v>
      </c>
      <c r="D70" s="124">
        <f t="shared" ref="D70:Q70" si="9">IFERROR(D68/D61,"")</f>
        <v>0.14591179686550845</v>
      </c>
      <c r="E70" s="124">
        <f t="shared" si="9"/>
        <v>0.14504451038575666</v>
      </c>
      <c r="F70" s="124">
        <f t="shared" si="9"/>
        <v>0.14256386861313869</v>
      </c>
      <c r="G70" s="124">
        <f t="shared" si="9"/>
        <v>0.14381766381766381</v>
      </c>
      <c r="H70" s="124">
        <f t="shared" si="9"/>
        <v>0.14408345104857112</v>
      </c>
      <c r="I70" s="124">
        <f t="shared" si="9"/>
        <v>0.15019360097819442</v>
      </c>
      <c r="J70" s="124">
        <f t="shared" si="9"/>
        <v>0.14698983580922595</v>
      </c>
      <c r="K70" s="124">
        <f t="shared" si="9"/>
        <v>0.14510889823739284</v>
      </c>
      <c r="L70" s="124">
        <f t="shared" si="9"/>
        <v>0.14996211483414718</v>
      </c>
      <c r="M70" s="125">
        <f t="shared" si="9"/>
        <v>0.1503339497816634</v>
      </c>
      <c r="N70" s="125">
        <f t="shared" si="9"/>
        <v>0.15070710506355026</v>
      </c>
      <c r="O70" s="125">
        <f t="shared" si="9"/>
        <v>0.15108157911205625</v>
      </c>
      <c r="P70" s="125">
        <f t="shared" si="9"/>
        <v>0.15145737007593965</v>
      </c>
      <c r="Q70" s="147">
        <f t="shared" si="9"/>
        <v>0.15183447580982687</v>
      </c>
      <c r="R70" s="121"/>
      <c r="S70" s="121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</row>
    <row r="71" spans="1:41" ht="15">
      <c r="A71" s="132"/>
      <c r="B71" s="146"/>
      <c r="C71" s="122"/>
      <c r="D71" s="124"/>
      <c r="E71" s="124"/>
      <c r="F71" s="124"/>
      <c r="G71" s="124"/>
      <c r="H71" s="124"/>
      <c r="I71" s="124"/>
      <c r="J71" s="124"/>
      <c r="K71" s="124"/>
      <c r="L71" s="124"/>
      <c r="M71" s="125"/>
      <c r="N71" s="125"/>
      <c r="O71" s="125"/>
      <c r="P71" s="125"/>
      <c r="Q71" s="147"/>
      <c r="R71" s="126"/>
      <c r="S71" s="126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</row>
    <row r="72" spans="1:41" s="111" customFormat="1" ht="15">
      <c r="A72" s="112"/>
      <c r="B72" s="143" t="s">
        <v>127</v>
      </c>
      <c r="C72" s="118" t="s">
        <v>122</v>
      </c>
      <c r="D72" s="119">
        <f>'Historical Dataset'!F45</f>
        <v>4266</v>
      </c>
      <c r="E72" s="119">
        <f>'Historical Dataset'!G45</f>
        <v>4225</v>
      </c>
      <c r="F72" s="119">
        <f>'Historical Dataset'!H45</f>
        <v>4462</v>
      </c>
      <c r="G72" s="119">
        <f>'Historical Dataset'!I45</f>
        <v>4308</v>
      </c>
      <c r="H72" s="119">
        <f>'Historical Dataset'!J45</f>
        <v>4514</v>
      </c>
      <c r="I72" s="119">
        <f>'Historical Dataset'!K45</f>
        <v>4851</v>
      </c>
      <c r="J72" s="119">
        <f>'Historical Dataset'!L45</f>
        <v>5137</v>
      </c>
      <c r="K72" s="119">
        <f>'Historical Dataset'!M45</f>
        <v>5415</v>
      </c>
      <c r="L72" s="119">
        <f>'Historical Dataset'!N45</f>
        <v>5603</v>
      </c>
      <c r="M72" s="148">
        <f>L72*(1+M73)</f>
        <v>5879.027088489679</v>
      </c>
      <c r="N72" s="148">
        <f>M72*(1+N73)</f>
        <v>6139.257284189076</v>
      </c>
      <c r="O72" s="148">
        <f>N72*(1+O73)</f>
        <v>6380.3100644872466</v>
      </c>
      <c r="P72" s="148">
        <f>O72*(1+P73)</f>
        <v>6598.9260293974703</v>
      </c>
      <c r="Q72" s="149">
        <f>P72*(1+Q73)</f>
        <v>6792.0380565613214</v>
      </c>
      <c r="R72" s="121"/>
      <c r="S72" s="121"/>
    </row>
    <row r="73" spans="1:41" s="128" customFormat="1" ht="15">
      <c r="A73" s="132"/>
      <c r="B73" s="146" t="s">
        <v>123</v>
      </c>
      <c r="C73" s="122" t="s">
        <v>31</v>
      </c>
      <c r="D73" s="124"/>
      <c r="E73" s="124">
        <f t="shared" ref="E73:L73" si="10">IFERROR(E72/D72-1,"")</f>
        <v>-9.6108766994843497E-3</v>
      </c>
      <c r="F73" s="124">
        <f t="shared" si="10"/>
        <v>5.6094674556212976E-2</v>
      </c>
      <c r="G73" s="124">
        <f t="shared" si="10"/>
        <v>-3.4513670999551715E-2</v>
      </c>
      <c r="H73" s="124">
        <f t="shared" si="10"/>
        <v>4.7818012999071513E-2</v>
      </c>
      <c r="I73" s="124">
        <f t="shared" si="10"/>
        <v>7.4656623836951708E-2</v>
      </c>
      <c r="J73" s="124">
        <f t="shared" si="10"/>
        <v>5.895691609977316E-2</v>
      </c>
      <c r="K73" s="124">
        <f t="shared" si="10"/>
        <v>5.4117189020829182E-2</v>
      </c>
      <c r="L73" s="124">
        <f t="shared" si="10"/>
        <v>3.471837488457985E-2</v>
      </c>
      <c r="M73" s="150">
        <f>IFERROR(MAX(MIN(AVERAGE(J73:L73),D34),D33),0)</f>
        <v>4.9264160001727397E-2</v>
      </c>
      <c r="N73" s="150">
        <f>MAX(MIN(M73-D35,D34),D33)</f>
        <v>4.42641600017274E-2</v>
      </c>
      <c r="O73" s="150">
        <f>MAX(MIN(N73-D35,D34),D33)</f>
        <v>3.9264160001727402E-2</v>
      </c>
      <c r="P73" s="150">
        <f>MAX(MIN(O73-D35,D34),D33)</f>
        <v>3.4264160001727405E-2</v>
      </c>
      <c r="Q73" s="151">
        <f>MAX(MIN(P73-D35,D34),D33)</f>
        <v>2.9264160001727404E-2</v>
      </c>
      <c r="R73" s="126"/>
      <c r="S73" s="126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</row>
    <row r="74" spans="1:41" s="128" customFormat="1" ht="15">
      <c r="A74" s="132"/>
      <c r="B74" s="146" t="s">
        <v>125</v>
      </c>
      <c r="C74" s="122" t="s">
        <v>31</v>
      </c>
      <c r="D74" s="124">
        <f t="shared" ref="D74:Q74" si="11">IFERROR(D72/D61,"")</f>
        <v>0.51828453407848374</v>
      </c>
      <c r="E74" s="124">
        <f t="shared" si="11"/>
        <v>0.50148367952522255</v>
      </c>
      <c r="F74" s="124">
        <f t="shared" si="11"/>
        <v>0.50889598540145986</v>
      </c>
      <c r="G74" s="124">
        <f t="shared" si="11"/>
        <v>0.49094017094017095</v>
      </c>
      <c r="H74" s="124">
        <f t="shared" si="11"/>
        <v>0.49049223079430621</v>
      </c>
      <c r="I74" s="124">
        <f t="shared" si="11"/>
        <v>0.49429386590584878</v>
      </c>
      <c r="J74" s="124">
        <f t="shared" si="11"/>
        <v>0.50205238467552771</v>
      </c>
      <c r="K74" s="124">
        <f t="shared" si="11"/>
        <v>0.51491787939415612</v>
      </c>
      <c r="L74" s="124">
        <f t="shared" si="11"/>
        <v>0.49136709322557109</v>
      </c>
      <c r="M74" s="125">
        <f t="shared" si="11"/>
        <v>0.49137338423395299</v>
      </c>
      <c r="N74" s="125">
        <f t="shared" si="11"/>
        <v>0.49137518498830424</v>
      </c>
      <c r="O74" s="125">
        <f t="shared" si="11"/>
        <v>0.49137241762258888</v>
      </c>
      <c r="P74" s="125">
        <f t="shared" si="11"/>
        <v>0.49136500281660922</v>
      </c>
      <c r="Q74" s="147">
        <f t="shared" si="11"/>
        <v>0.49135285976462056</v>
      </c>
      <c r="R74" s="121"/>
      <c r="S74" s="121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</row>
    <row r="75" spans="1:41" s="128" customFormat="1" ht="15">
      <c r="A75" s="132"/>
      <c r="B75" s="146"/>
      <c r="C75" s="122"/>
      <c r="D75" s="124"/>
      <c r="E75" s="124"/>
      <c r="F75" s="124"/>
      <c r="G75" s="124"/>
      <c r="H75" s="124"/>
      <c r="I75" s="124"/>
      <c r="J75" s="124"/>
      <c r="K75" s="124"/>
      <c r="L75" s="124"/>
      <c r="M75" s="125"/>
      <c r="N75" s="125"/>
      <c r="O75" s="125"/>
      <c r="P75" s="125"/>
      <c r="Q75" s="147"/>
      <c r="R75" s="126"/>
      <c r="S75" s="126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</row>
    <row r="76" spans="1:41" s="111" customFormat="1" ht="15">
      <c r="A76" s="112"/>
      <c r="B76" s="143" t="s">
        <v>128</v>
      </c>
      <c r="C76" s="118" t="s">
        <v>122</v>
      </c>
      <c r="D76" s="119">
        <f>'Historical Dataset'!F48</f>
        <v>55</v>
      </c>
      <c r="E76" s="119">
        <f>'Historical Dataset'!G48</f>
        <v>66</v>
      </c>
      <c r="F76" s="119">
        <f>'Historical Dataset'!H48</f>
        <v>68</v>
      </c>
      <c r="G76" s="119">
        <f>'Historical Dataset'!I48</f>
        <v>76</v>
      </c>
      <c r="H76" s="119">
        <f>'Historical Dataset'!J48</f>
        <v>84</v>
      </c>
      <c r="I76" s="119">
        <f>'Historical Dataset'!K48</f>
        <v>95</v>
      </c>
      <c r="J76" s="119">
        <f>'Historical Dataset'!L48</f>
        <v>99</v>
      </c>
      <c r="K76" s="119">
        <f>'Historical Dataset'!M48</f>
        <v>102</v>
      </c>
      <c r="L76" s="119">
        <f>'Historical Dataset'!N48</f>
        <v>148</v>
      </c>
      <c r="M76" s="148">
        <f>L76*(1+M77)</f>
        <v>156.88</v>
      </c>
      <c r="N76" s="148">
        <f>M76*(1+N77)</f>
        <v>165.50839999999999</v>
      </c>
      <c r="O76" s="148">
        <f>N76*(1+O77)</f>
        <v>173.78381999999999</v>
      </c>
      <c r="P76" s="148">
        <f>O76*(1+P77)</f>
        <v>181.60409189999999</v>
      </c>
      <c r="Q76" s="149">
        <f>P76*(1+Q77)</f>
        <v>188.868255576</v>
      </c>
      <c r="R76" s="121"/>
      <c r="S76" s="121"/>
    </row>
    <row r="77" spans="1:41" ht="15">
      <c r="A77" s="132"/>
      <c r="B77" s="146" t="s">
        <v>123</v>
      </c>
      <c r="C77" s="122" t="s">
        <v>31</v>
      </c>
      <c r="D77" s="124"/>
      <c r="E77" s="124">
        <f t="shared" ref="E77:L77" si="12">IFERROR(E76/D76-1,"")</f>
        <v>0.19999999999999996</v>
      </c>
      <c r="F77" s="124">
        <f t="shared" si="12"/>
        <v>3.0303030303030276E-2</v>
      </c>
      <c r="G77" s="124">
        <f t="shared" si="12"/>
        <v>0.11764705882352944</v>
      </c>
      <c r="H77" s="124">
        <f t="shared" si="12"/>
        <v>0.10526315789473695</v>
      </c>
      <c r="I77" s="124">
        <f t="shared" si="12"/>
        <v>0.13095238095238093</v>
      </c>
      <c r="J77" s="124">
        <f t="shared" si="12"/>
        <v>4.2105263157894646E-2</v>
      </c>
      <c r="K77" s="124">
        <f t="shared" si="12"/>
        <v>3.0303030303030276E-2</v>
      </c>
      <c r="L77" s="124">
        <f t="shared" si="12"/>
        <v>0.4509803921568627</v>
      </c>
      <c r="M77" s="150">
        <f>IFERROR(MAX(MIN(AVERAGE(J77:L77),D34),D33),0)</f>
        <v>0.06</v>
      </c>
      <c r="N77" s="150">
        <f>MAX(MIN(M77-D35,D34),D33)</f>
        <v>5.5E-2</v>
      </c>
      <c r="O77" s="150">
        <f>MAX(MIN(N77-D35,D34),D33)</f>
        <v>0.05</v>
      </c>
      <c r="P77" s="150">
        <f>MAX(MIN(O77-D35,D34),D33)</f>
        <v>4.5000000000000005E-2</v>
      </c>
      <c r="Q77" s="151">
        <f>MAX(MIN(P77-D35,D34),D33)</f>
        <v>4.0000000000000008E-2</v>
      </c>
      <c r="R77" s="126"/>
      <c r="S77" s="126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</row>
    <row r="78" spans="1:41" ht="15">
      <c r="A78" s="132"/>
      <c r="B78" s="146" t="s">
        <v>125</v>
      </c>
      <c r="C78" s="122" t="s">
        <v>31</v>
      </c>
      <c r="D78" s="124">
        <f t="shared" ref="D78:Q78" si="13">IFERROR(D76/D61,"")</f>
        <v>6.6820556432997209E-3</v>
      </c>
      <c r="E78" s="124">
        <f t="shared" si="13"/>
        <v>7.8338278931750736E-3</v>
      </c>
      <c r="F78" s="124">
        <f t="shared" si="13"/>
        <v>7.7554744525547446E-3</v>
      </c>
      <c r="G78" s="124">
        <f t="shared" si="13"/>
        <v>8.6609686609686615E-3</v>
      </c>
      <c r="H78" s="124">
        <f t="shared" si="13"/>
        <v>9.127458437466044E-3</v>
      </c>
      <c r="I78" s="124">
        <f t="shared" si="13"/>
        <v>9.6800489097208075E-3</v>
      </c>
      <c r="J78" s="124">
        <f t="shared" si="13"/>
        <v>9.6755277560594214E-3</v>
      </c>
      <c r="K78" s="124">
        <f t="shared" si="13"/>
        <v>9.6992841547929674E-3</v>
      </c>
      <c r="L78" s="124">
        <f t="shared" si="13"/>
        <v>1.2979177190323848E-2</v>
      </c>
      <c r="M78" s="125">
        <f t="shared" si="13"/>
        <v>1.3112145148905258E-2</v>
      </c>
      <c r="N78" s="125">
        <f t="shared" si="13"/>
        <v>1.3246996648367468E-2</v>
      </c>
      <c r="O78" s="125">
        <f t="shared" si="13"/>
        <v>1.3383765822351359E-2</v>
      </c>
      <c r="P78" s="125">
        <f t="shared" si="13"/>
        <v>1.3522487557888105E-2</v>
      </c>
      <c r="Q78" s="147">
        <f t="shared" si="13"/>
        <v>1.366319751497479E-2</v>
      </c>
      <c r="R78" s="121"/>
      <c r="S78" s="121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</row>
    <row r="79" spans="1:41" ht="15">
      <c r="A79" s="132"/>
      <c r="B79" s="146"/>
      <c r="C79" s="122"/>
      <c r="D79" s="124"/>
      <c r="E79" s="124"/>
      <c r="F79" s="124"/>
      <c r="G79" s="124"/>
      <c r="H79" s="124"/>
      <c r="I79" s="124"/>
      <c r="J79" s="124"/>
      <c r="K79" s="124"/>
      <c r="L79" s="124"/>
      <c r="M79" s="125"/>
      <c r="N79" s="125"/>
      <c r="O79" s="125"/>
      <c r="P79" s="125"/>
      <c r="Q79" s="147"/>
      <c r="R79" s="126"/>
      <c r="S79" s="126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</row>
    <row r="80" spans="1:41" s="111" customFormat="1" ht="15">
      <c r="A80" s="112"/>
      <c r="B80" s="143" t="s">
        <v>129</v>
      </c>
      <c r="C80" s="118" t="s">
        <v>122</v>
      </c>
      <c r="D80" s="119">
        <f>'Historical Dataset'!F51</f>
        <v>0</v>
      </c>
      <c r="E80" s="119">
        <f>'Historical Dataset'!G51</f>
        <v>0</v>
      </c>
      <c r="F80" s="119">
        <f>'Historical Dataset'!H51</f>
        <v>0</v>
      </c>
      <c r="G80" s="119">
        <f>'Historical Dataset'!I51</f>
        <v>0</v>
      </c>
      <c r="H80" s="119">
        <f>'Historical Dataset'!J51</f>
        <v>0</v>
      </c>
      <c r="I80" s="119">
        <f>'Historical Dataset'!K51</f>
        <v>0</v>
      </c>
      <c r="J80" s="119">
        <f>'Historical Dataset'!L51</f>
        <v>0</v>
      </c>
      <c r="K80" s="119">
        <f>'Historical Dataset'!M51</f>
        <v>1.24</v>
      </c>
      <c r="L80" s="119">
        <f>'Historical Dataset'!N51</f>
        <v>4.88</v>
      </c>
      <c r="M80" s="148">
        <f>L80*(1+M81)</f>
        <v>5.1728000000000005</v>
      </c>
      <c r="N80" s="148">
        <f>M80*(1+N81)</f>
        <v>5.4573040000000006</v>
      </c>
      <c r="O80" s="148">
        <f>N80*(1+O81)</f>
        <v>5.7301692000000006</v>
      </c>
      <c r="P80" s="148">
        <f>O80*(1+P81)</f>
        <v>5.9880268140000004</v>
      </c>
      <c r="Q80" s="149">
        <f>P80*(1+Q81)</f>
        <v>6.2275478865600009</v>
      </c>
      <c r="R80" s="121"/>
      <c r="S80" s="121"/>
    </row>
    <row r="81" spans="1:41" ht="15">
      <c r="A81" s="132"/>
      <c r="B81" s="146" t="s">
        <v>123</v>
      </c>
      <c r="C81" s="122" t="s">
        <v>31</v>
      </c>
      <c r="D81" s="124"/>
      <c r="E81" s="124" t="str">
        <f t="shared" ref="E81:L81" si="14">IFERROR(E80/D80-1,"")</f>
        <v/>
      </c>
      <c r="F81" s="124" t="str">
        <f t="shared" si="14"/>
        <v/>
      </c>
      <c r="G81" s="124" t="str">
        <f t="shared" si="14"/>
        <v/>
      </c>
      <c r="H81" s="124" t="str">
        <f t="shared" si="14"/>
        <v/>
      </c>
      <c r="I81" s="124" t="str">
        <f t="shared" si="14"/>
        <v/>
      </c>
      <c r="J81" s="124" t="str">
        <f t="shared" si="14"/>
        <v/>
      </c>
      <c r="K81" s="124" t="str">
        <f t="shared" si="14"/>
        <v/>
      </c>
      <c r="L81" s="124">
        <f t="shared" si="14"/>
        <v>2.935483870967742</v>
      </c>
      <c r="M81" s="150">
        <f>IFERROR(MAX(MIN(AVERAGE(J81:L81),D34),D33),0)</f>
        <v>0.06</v>
      </c>
      <c r="N81" s="150">
        <f>MAX(MIN(M81-D35,D34),D33)</f>
        <v>5.5E-2</v>
      </c>
      <c r="O81" s="150">
        <f>MAX(MIN(N81-D35,D34),D33)</f>
        <v>0.05</v>
      </c>
      <c r="P81" s="150">
        <f>MAX(MIN(O81-D35,D34),D33)</f>
        <v>4.5000000000000005E-2</v>
      </c>
      <c r="Q81" s="151">
        <f>MAX(MIN(P81-D35,D34),D33)</f>
        <v>4.0000000000000008E-2</v>
      </c>
      <c r="R81" s="126"/>
      <c r="S81" s="126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</row>
    <row r="82" spans="1:41" ht="15">
      <c r="A82" s="132"/>
      <c r="B82" s="146" t="s">
        <v>125</v>
      </c>
      <c r="C82" s="122" t="s">
        <v>31</v>
      </c>
      <c r="D82" s="124">
        <f t="shared" ref="D82:Q82" si="15">IFERROR(D80/D61,"")</f>
        <v>0</v>
      </c>
      <c r="E82" s="124">
        <f t="shared" si="15"/>
        <v>0</v>
      </c>
      <c r="F82" s="124">
        <f t="shared" si="15"/>
        <v>0</v>
      </c>
      <c r="G82" s="124">
        <f t="shared" si="15"/>
        <v>0</v>
      </c>
      <c r="H82" s="124">
        <f t="shared" si="15"/>
        <v>0</v>
      </c>
      <c r="I82" s="124">
        <f t="shared" si="15"/>
        <v>0</v>
      </c>
      <c r="J82" s="124">
        <f t="shared" si="15"/>
        <v>0</v>
      </c>
      <c r="K82" s="124">
        <f t="shared" si="15"/>
        <v>1.1791286619552235E-4</v>
      </c>
      <c r="L82" s="124">
        <f t="shared" si="15"/>
        <v>4.2796205870797554E-4</v>
      </c>
      <c r="M82" s="125">
        <f t="shared" si="15"/>
        <v>4.323464076125518E-4</v>
      </c>
      <c r="N82" s="125">
        <f t="shared" si="15"/>
        <v>4.3679286245968416E-4</v>
      </c>
      <c r="O82" s="125">
        <f t="shared" si="15"/>
        <v>4.4130254873699082E-4</v>
      </c>
      <c r="P82" s="125">
        <f t="shared" si="15"/>
        <v>4.4587661677360788E-4</v>
      </c>
      <c r="Q82" s="147">
        <f t="shared" si="15"/>
        <v>4.5051624238565531E-4</v>
      </c>
      <c r="R82" s="121"/>
      <c r="S82" s="121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</row>
    <row r="83" spans="1:41" ht="15">
      <c r="A83" s="132"/>
      <c r="B83" s="146"/>
      <c r="C83" s="122"/>
      <c r="D83" s="124"/>
      <c r="E83" s="124"/>
      <c r="F83" s="124"/>
      <c r="G83" s="124"/>
      <c r="H83" s="124"/>
      <c r="I83" s="124"/>
      <c r="J83" s="124"/>
      <c r="K83" s="124"/>
      <c r="L83" s="124"/>
      <c r="M83" s="125"/>
      <c r="N83" s="125"/>
      <c r="O83" s="125"/>
      <c r="P83" s="125"/>
      <c r="Q83" s="147"/>
      <c r="R83" s="126"/>
      <c r="S83" s="126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</row>
    <row r="84" spans="1:41" s="111" customFormat="1" ht="15">
      <c r="A84" s="112"/>
      <c r="B84" s="143" t="s">
        <v>130</v>
      </c>
      <c r="C84" s="118" t="s">
        <v>122</v>
      </c>
      <c r="D84" s="119">
        <f>'Historical Dataset'!F36</f>
        <v>22</v>
      </c>
      <c r="E84" s="119">
        <f>'Historical Dataset'!G36</f>
        <v>23</v>
      </c>
      <c r="F84" s="119">
        <f>'Historical Dataset'!H36</f>
        <v>27</v>
      </c>
      <c r="G84" s="119">
        <f>'Historical Dataset'!I36</f>
        <v>18</v>
      </c>
      <c r="H84" s="119">
        <f>'Historical Dataset'!J36</f>
        <v>17</v>
      </c>
      <c r="I84" s="119">
        <f>'Historical Dataset'!K36</f>
        <v>16</v>
      </c>
      <c r="J84" s="119">
        <f>'Historical Dataset'!L36</f>
        <v>27</v>
      </c>
      <c r="K84" s="119">
        <f>'Historical Dataset'!M36</f>
        <v>43</v>
      </c>
      <c r="L84" s="119">
        <f>'Historical Dataset'!N36</f>
        <v>73</v>
      </c>
      <c r="M84" s="148">
        <f>L84*(1+M85)</f>
        <v>77.38000000000001</v>
      </c>
      <c r="N84" s="148">
        <f>M84*(1+N85)</f>
        <v>81.635900000000007</v>
      </c>
      <c r="O84" s="148">
        <f>N84*(1+O85)</f>
        <v>85.717695000000006</v>
      </c>
      <c r="P84" s="148">
        <f>O84*(1+P85)</f>
        <v>89.574991275000002</v>
      </c>
      <c r="Q84" s="149">
        <f>P84*(1+Q85)</f>
        <v>93.157990926000011</v>
      </c>
      <c r="R84" s="121"/>
      <c r="S84" s="121"/>
    </row>
    <row r="85" spans="1:41" ht="15">
      <c r="A85" s="132"/>
      <c r="B85" s="146" t="s">
        <v>123</v>
      </c>
      <c r="C85" s="122" t="s">
        <v>31</v>
      </c>
      <c r="D85" s="124"/>
      <c r="E85" s="124">
        <f t="shared" ref="E85:L85" si="16">IFERROR(E84/D84-1,"")</f>
        <v>4.5454545454545414E-2</v>
      </c>
      <c r="F85" s="124">
        <f t="shared" si="16"/>
        <v>0.17391304347826098</v>
      </c>
      <c r="G85" s="124">
        <f t="shared" si="16"/>
        <v>-0.33333333333333337</v>
      </c>
      <c r="H85" s="124">
        <f t="shared" si="16"/>
        <v>-5.555555555555558E-2</v>
      </c>
      <c r="I85" s="124">
        <f t="shared" si="16"/>
        <v>-5.8823529411764719E-2</v>
      </c>
      <c r="J85" s="124">
        <f t="shared" si="16"/>
        <v>0.6875</v>
      </c>
      <c r="K85" s="124">
        <f t="shared" si="16"/>
        <v>0.59259259259259256</v>
      </c>
      <c r="L85" s="124">
        <f t="shared" si="16"/>
        <v>0.69767441860465107</v>
      </c>
      <c r="M85" s="150">
        <f>IFERROR(MAX(MIN(AVERAGE(J85:L85),D34),D33),0)</f>
        <v>0.06</v>
      </c>
      <c r="N85" s="150">
        <f>MAX(MIN(M85-D35,D34),D33)</f>
        <v>5.5E-2</v>
      </c>
      <c r="O85" s="150">
        <f>MAX(MIN(N85-D35,D34),D33)</f>
        <v>0.05</v>
      </c>
      <c r="P85" s="150">
        <f>MAX(MIN(O85-D35,D34),D33)</f>
        <v>4.5000000000000005E-2</v>
      </c>
      <c r="Q85" s="151">
        <f>MAX(MIN(P85-D35,D34),D33)</f>
        <v>4.0000000000000008E-2</v>
      </c>
      <c r="R85" s="126"/>
      <c r="S85" s="126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</row>
    <row r="86" spans="1:41" ht="15">
      <c r="A86" s="132"/>
      <c r="B86" s="146" t="s">
        <v>125</v>
      </c>
      <c r="C86" s="122" t="s">
        <v>31</v>
      </c>
      <c r="D86" s="124">
        <f t="shared" ref="D86:Q86" si="17">IFERROR(D84/D61,"")</f>
        <v>2.6728222573198881E-3</v>
      </c>
      <c r="E86" s="124">
        <f t="shared" si="17"/>
        <v>2.7299703264094958E-3</v>
      </c>
      <c r="F86" s="124">
        <f t="shared" si="17"/>
        <v>3.0793795620437958E-3</v>
      </c>
      <c r="G86" s="124">
        <f t="shared" si="17"/>
        <v>2.0512820512820513E-3</v>
      </c>
      <c r="H86" s="124">
        <f t="shared" si="17"/>
        <v>1.8472237313919375E-3</v>
      </c>
      <c r="I86" s="124">
        <f t="shared" si="17"/>
        <v>1.6303240269003464E-3</v>
      </c>
      <c r="J86" s="124">
        <f t="shared" si="17"/>
        <v>2.6387802971071148E-3</v>
      </c>
      <c r="K86" s="124">
        <f t="shared" si="17"/>
        <v>4.0889139083931138E-3</v>
      </c>
      <c r="L86" s="124">
        <f t="shared" si="17"/>
        <v>6.4018914519840603E-3</v>
      </c>
      <c r="M86" s="125">
        <f t="shared" si="17"/>
        <v>6.4674769991221893E-3</v>
      </c>
      <c r="N86" s="125">
        <f t="shared" si="17"/>
        <v>6.5339915900731434E-3</v>
      </c>
      <c r="O86" s="125">
        <f t="shared" si="17"/>
        <v>6.6014520610246574E-3</v>
      </c>
      <c r="P86" s="125">
        <f t="shared" si="17"/>
        <v>6.669875619769134E-3</v>
      </c>
      <c r="Q86" s="147">
        <f t="shared" si="17"/>
        <v>6.7392798553591879E-3</v>
      </c>
      <c r="R86" s="121"/>
      <c r="S86" s="121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</row>
    <row r="87" spans="1:41" ht="15">
      <c r="A87" s="132"/>
      <c r="B87" s="146"/>
      <c r="C87" s="122"/>
      <c r="D87" s="124"/>
      <c r="E87" s="124"/>
      <c r="F87" s="124"/>
      <c r="G87" s="124"/>
      <c r="H87" s="124"/>
      <c r="I87" s="124"/>
      <c r="J87" s="124"/>
      <c r="K87" s="124"/>
      <c r="L87" s="124"/>
      <c r="M87" s="125"/>
      <c r="N87" s="125"/>
      <c r="O87" s="125"/>
      <c r="P87" s="125"/>
      <c r="Q87" s="147"/>
      <c r="R87" s="126"/>
      <c r="S87" s="126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</row>
    <row r="88" spans="1:41" s="129" customFormat="1" ht="15">
      <c r="A88" s="181"/>
      <c r="B88" s="143" t="s">
        <v>131</v>
      </c>
      <c r="C88" s="118" t="s">
        <v>122</v>
      </c>
      <c r="D88" s="119">
        <f>'Historical Dataset'!F33</f>
        <v>549</v>
      </c>
      <c r="E88" s="119">
        <f>'Historical Dataset'!G33</f>
        <v>554</v>
      </c>
      <c r="F88" s="119">
        <f>'Historical Dataset'!H33</f>
        <v>595</v>
      </c>
      <c r="G88" s="119">
        <f>'Historical Dataset'!I33</f>
        <v>603</v>
      </c>
      <c r="H88" s="119">
        <f>'Historical Dataset'!J33</f>
        <v>632</v>
      </c>
      <c r="I88" s="119">
        <f>'Historical Dataset'!K33</f>
        <v>650</v>
      </c>
      <c r="J88" s="119">
        <f>'Historical Dataset'!L33</f>
        <v>667</v>
      </c>
      <c r="K88" s="119">
        <f>'Historical Dataset'!M33</f>
        <v>660</v>
      </c>
      <c r="L88" s="119">
        <f>'Historical Dataset'!N33</f>
        <v>760</v>
      </c>
      <c r="M88" s="148">
        <f>L88*(1+M89)</f>
        <v>802.35080874481184</v>
      </c>
      <c r="N88" s="148">
        <f>M88*(1+N89)</f>
        <v>843.04985160555691</v>
      </c>
      <c r="O88" s="148">
        <f>N88*(1+O89)</f>
        <v>881.59809391540784</v>
      </c>
      <c r="P88" s="148">
        <f>O88*(1+P89)</f>
        <v>917.50095443457417</v>
      </c>
      <c r="Q88" s="149">
        <f>P88*(1+Q89)</f>
        <v>950.27844514119977</v>
      </c>
      <c r="R88" s="121"/>
      <c r="S88" s="121"/>
    </row>
    <row r="89" spans="1:41" s="130" customFormat="1" ht="15">
      <c r="A89" s="131"/>
      <c r="B89" s="146" t="s">
        <v>123</v>
      </c>
      <c r="C89" s="127" t="s">
        <v>31</v>
      </c>
      <c r="D89" s="124"/>
      <c r="E89" s="124">
        <f>IFERROR(E88/D88-1,"")</f>
        <v>9.1074681238616506E-3</v>
      </c>
      <c r="F89" s="124">
        <f>IFERROR(F88/E88-1,"")</f>
        <v>7.400722021660644E-2</v>
      </c>
      <c r="G89" s="124">
        <f>IFERROR(G88/F88-1,"")</f>
        <v>1.3445378151260456E-2</v>
      </c>
      <c r="H89" s="124">
        <f>IFERROR(H88/G88-1,"")</f>
        <v>4.8092868988391269E-2</v>
      </c>
      <c r="I89" s="124">
        <f>IFERROR(I88/H88-1,"")</f>
        <v>2.8481012658227778E-2</v>
      </c>
      <c r="J89" s="124">
        <f>IFERROR(J88/I88-1,"")</f>
        <v>2.6153846153846194E-2</v>
      </c>
      <c r="K89" s="124">
        <f>IFERROR(K88/J88-1,"")</f>
        <v>-1.0494752623688153E-2</v>
      </c>
      <c r="L89" s="124">
        <f>IFERROR(L88/K88-1,"")</f>
        <v>0.1515151515151516</v>
      </c>
      <c r="M89" s="150">
        <f>IFERROR(MAX(MIN(AVERAGE(J89:L89),D34),D33),0)</f>
        <v>5.5724748348436548E-2</v>
      </c>
      <c r="N89" s="150">
        <f>MAX(MIN(M89-D35,D34),D33)</f>
        <v>5.0724748348436551E-2</v>
      </c>
      <c r="O89" s="150">
        <f>MAX(MIN(N89-D35,D34),D33)</f>
        <v>4.5724748348436553E-2</v>
      </c>
      <c r="P89" s="150">
        <f>MAX(MIN(O89-D35,D34),D33)</f>
        <v>4.0724748348436556E-2</v>
      </c>
      <c r="Q89" s="151">
        <f>MAX(MIN(P89-D35,D34),D33)</f>
        <v>3.5724748348436558E-2</v>
      </c>
      <c r="R89" s="126"/>
      <c r="S89" s="126"/>
    </row>
    <row r="90" spans="1:41" s="130" customFormat="1" ht="15">
      <c r="A90" s="131"/>
      <c r="B90" s="146" t="s">
        <v>125</v>
      </c>
      <c r="C90" s="127" t="s">
        <v>31</v>
      </c>
      <c r="D90" s="124">
        <f>IFERROR(D88/D61,"")</f>
        <v>6.6699064512209943E-2</v>
      </c>
      <c r="E90" s="124">
        <f>IFERROR(E88/E61,"")</f>
        <v>6.5756676557863505E-2</v>
      </c>
      <c r="F90" s="124">
        <f>IFERROR(F88/F61,"")</f>
        <v>6.7860401459854017E-2</v>
      </c>
      <c r="G90" s="124">
        <f>IFERROR(G88/G61,"")</f>
        <v>6.8717948717948715E-2</v>
      </c>
      <c r="H90" s="124">
        <f>IFERROR(H88/H61,"")</f>
        <v>6.8673258719982616E-2</v>
      </c>
      <c r="I90" s="124">
        <f>IFERROR(I88/I61,"")</f>
        <v>6.6231913592826569E-2</v>
      </c>
      <c r="J90" s="124">
        <f>IFERROR(J88/J61,"")</f>
        <v>6.5187646598905399E-2</v>
      </c>
      <c r="K90" s="124">
        <f>IFERROR(K88/K61,"")</f>
        <v>6.2760073942778022E-2</v>
      </c>
      <c r="L90" s="124">
        <f>IFERROR(L88/L61,"")</f>
        <v>6.6649828815176518E-2</v>
      </c>
      <c r="M90" s="125">
        <f>IFERROR(M88/M61,"")</f>
        <v>6.7061067469425639E-2</v>
      </c>
      <c r="N90" s="125">
        <f>IFERROR(N88/N61,"")</f>
        <v>6.7476203978924953E-2</v>
      </c>
      <c r="O90" s="125">
        <f>IFERROR(O88/O61,"")</f>
        <v>6.789528759579079E-2</v>
      </c>
      <c r="P90" s="125">
        <f>IFERROR(P88/P61,"")</f>
        <v>6.8318368330179638E-2</v>
      </c>
      <c r="Q90" s="147">
        <f>IFERROR(Q88/Q61,"")</f>
        <v>6.8745496963425329E-2</v>
      </c>
      <c r="R90" s="121"/>
      <c r="S90" s="121"/>
    </row>
    <row r="91" spans="1:41" ht="15">
      <c r="A91" s="102"/>
      <c r="B91" s="152" t="s">
        <v>132</v>
      </c>
      <c r="C91" s="56"/>
      <c r="D91" s="57"/>
      <c r="E91" s="57"/>
      <c r="F91" s="57"/>
      <c r="G91" s="57"/>
      <c r="H91" s="57"/>
      <c r="I91" s="57"/>
      <c r="J91" s="57"/>
      <c r="K91" s="57"/>
      <c r="L91" s="57"/>
      <c r="M91" s="88">
        <f>SUM(M66,M70,M74,M78,M82,M86,M90)</f>
        <v>1</v>
      </c>
      <c r="N91" s="88">
        <f>SUM(N66,N70,N74,N78,N82,N86,N90)</f>
        <v>1</v>
      </c>
      <c r="O91" s="88">
        <f>SUM(O66,O70,O74,O78,O82,O86,O90)</f>
        <v>1.0000000000000002</v>
      </c>
      <c r="P91" s="88">
        <f>SUM(P66,P70,P74,P78,P82,P86,P90)</f>
        <v>1</v>
      </c>
      <c r="Q91" s="153">
        <f>SUM(Q66,Q70,Q74,Q78,Q82,Q86,Q90)</f>
        <v>1</v>
      </c>
      <c r="R91" s="126"/>
      <c r="S91" s="126"/>
    </row>
    <row r="92" spans="1:41" ht="15">
      <c r="A92" s="102"/>
      <c r="B92" s="152"/>
      <c r="C92" s="56"/>
      <c r="D92" s="57"/>
      <c r="E92" s="57"/>
      <c r="F92" s="57"/>
      <c r="G92" s="57"/>
      <c r="H92" s="57"/>
      <c r="I92" s="57"/>
      <c r="J92" s="57"/>
      <c r="K92" s="57"/>
      <c r="L92" s="193"/>
      <c r="M92" s="88"/>
      <c r="N92" s="88"/>
      <c r="O92" s="88"/>
      <c r="P92" s="88"/>
      <c r="Q92" s="153"/>
      <c r="R92" s="121"/>
      <c r="S92" s="121"/>
    </row>
    <row r="93" spans="1:41" ht="25.5" customHeight="1">
      <c r="A93" s="102"/>
      <c r="B93" s="200" t="s">
        <v>133</v>
      </c>
      <c r="C93" s="201"/>
      <c r="D93" s="190">
        <v>43100</v>
      </c>
      <c r="E93" s="190">
        <f>EOMONTH(D93,12)</f>
        <v>43465</v>
      </c>
      <c r="F93" s="190">
        <f t="shared" ref="F93" si="18">EOMONTH(E93,12)</f>
        <v>43830</v>
      </c>
      <c r="G93" s="190">
        <f t="shared" ref="G93" si="19">EOMONTH(F93,12)</f>
        <v>44196</v>
      </c>
      <c r="H93" s="190">
        <f t="shared" ref="H93" si="20">EOMONTH(G93,12)</f>
        <v>44561</v>
      </c>
      <c r="I93" s="190">
        <f t="shared" ref="I93" si="21">EOMONTH(H93,12)</f>
        <v>44926</v>
      </c>
      <c r="J93" s="190">
        <f t="shared" ref="J93" si="22">EOMONTH(I93,12)</f>
        <v>45291</v>
      </c>
      <c r="K93" s="190">
        <f t="shared" ref="K93:L93" si="23">EOMONTH(J93,12)</f>
        <v>45657</v>
      </c>
      <c r="L93" s="194">
        <f t="shared" si="23"/>
        <v>46022</v>
      </c>
      <c r="M93" s="191">
        <f t="shared" ref="M93" si="24">EOMONTH(L93,12)</f>
        <v>46387</v>
      </c>
      <c r="N93" s="191">
        <f t="shared" ref="N93" si="25">EOMONTH(M93,12)</f>
        <v>46752</v>
      </c>
      <c r="O93" s="191">
        <f t="shared" ref="O93" si="26">EOMONTH(N93,12)</f>
        <v>47118</v>
      </c>
      <c r="P93" s="191">
        <f t="shared" ref="P93" si="27">EOMONTH(O93,12)</f>
        <v>47483</v>
      </c>
      <c r="Q93" s="192">
        <f t="shared" ref="Q93" si="28">EOMONTH(P93,12)</f>
        <v>47848</v>
      </c>
      <c r="R93" s="126"/>
      <c r="S93" s="126"/>
    </row>
    <row r="94" spans="1:41" ht="15">
      <c r="A94" s="102"/>
      <c r="B94" s="183" t="s">
        <v>106</v>
      </c>
      <c r="C94" s="184" t="s">
        <v>19</v>
      </c>
      <c r="D94" s="19" t="s">
        <v>107</v>
      </c>
      <c r="E94" s="19" t="s">
        <v>108</v>
      </c>
      <c r="F94" s="19" t="s">
        <v>109</v>
      </c>
      <c r="G94" s="19" t="s">
        <v>110</v>
      </c>
      <c r="H94" s="19" t="s">
        <v>111</v>
      </c>
      <c r="I94" s="19" t="s">
        <v>112</v>
      </c>
      <c r="J94" s="19" t="s">
        <v>113</v>
      </c>
      <c r="K94" s="106" t="s">
        <v>114</v>
      </c>
      <c r="L94" s="137" t="s">
        <v>115</v>
      </c>
      <c r="M94" s="186" t="s">
        <v>116</v>
      </c>
      <c r="N94" s="186" t="s">
        <v>117</v>
      </c>
      <c r="O94" s="186" t="s">
        <v>118</v>
      </c>
      <c r="P94" s="186" t="s">
        <v>119</v>
      </c>
      <c r="Q94" s="187" t="s">
        <v>120</v>
      </c>
      <c r="R94" s="121"/>
      <c r="S94" s="121"/>
    </row>
    <row r="95" spans="1:41" s="111" customFormat="1" ht="15">
      <c r="A95" s="112"/>
      <c r="B95" s="143" t="s">
        <v>134</v>
      </c>
      <c r="C95" s="118" t="s">
        <v>28</v>
      </c>
      <c r="D95" s="85">
        <f t="shared" ref="D95:L95" si="29">D98+D104+D110+D116+D122+D128</f>
        <v>120117</v>
      </c>
      <c r="E95" s="85">
        <f t="shared" si="29"/>
        <v>125463</v>
      </c>
      <c r="F95" s="85">
        <f t="shared" si="29"/>
        <v>133094</v>
      </c>
      <c r="G95" s="85">
        <f t="shared" si="29"/>
        <v>133259</v>
      </c>
      <c r="H95" s="85">
        <f t="shared" si="29"/>
        <v>144120</v>
      </c>
      <c r="I95" s="85">
        <f t="shared" si="29"/>
        <v>157354</v>
      </c>
      <c r="J95" s="85">
        <f t="shared" si="29"/>
        <v>190974</v>
      </c>
      <c r="K95" s="85">
        <f t="shared" si="29"/>
        <v>231123</v>
      </c>
      <c r="L95" s="85">
        <f t="shared" si="29"/>
        <v>219284</v>
      </c>
      <c r="M95" s="188">
        <f>M98+M104+M110+M116+M122+M128</f>
        <v>236835.26966550198</v>
      </c>
      <c r="N95" s="188">
        <f>N98+N104+N110+N116+N122+N128</f>
        <v>253955.65136421449</v>
      </c>
      <c r="O95" s="188">
        <f>O98+O104+O110+O116+O122+O128</f>
        <v>270351.59378045966</v>
      </c>
      <c r="P95" s="188">
        <f>P98+P104+P110+P116+P122+P128</f>
        <v>285724.12409736007</v>
      </c>
      <c r="Q95" s="189">
        <f>Q98+Q104+Q110+Q116+Q122+Q128</f>
        <v>299778.01007828984</v>
      </c>
      <c r="R95" s="126"/>
      <c r="S95" s="126"/>
    </row>
    <row r="96" spans="1:41" ht="15">
      <c r="A96" s="132"/>
      <c r="B96" s="146" t="s">
        <v>123</v>
      </c>
      <c r="C96" s="122" t="s">
        <v>31</v>
      </c>
      <c r="D96" s="124"/>
      <c r="E96" s="124">
        <f t="shared" ref="E96:L96" si="30">IFERROR(E95/D95-1,"")</f>
        <v>4.4506606059092402E-2</v>
      </c>
      <c r="F96" s="124">
        <f t="shared" si="30"/>
        <v>6.0822712672262025E-2</v>
      </c>
      <c r="G96" s="124">
        <f t="shared" si="30"/>
        <v>1.2397253069258429E-3</v>
      </c>
      <c r="H96" s="124">
        <f t="shared" si="30"/>
        <v>8.150293788787244E-2</v>
      </c>
      <c r="I96" s="124">
        <f t="shared" si="30"/>
        <v>9.1826255897862863E-2</v>
      </c>
      <c r="J96" s="124">
        <f t="shared" si="30"/>
        <v>0.21365837538289467</v>
      </c>
      <c r="K96" s="124">
        <f t="shared" si="30"/>
        <v>0.21023280656005539</v>
      </c>
      <c r="L96" s="124">
        <f t="shared" si="30"/>
        <v>-5.122380723683928E-2</v>
      </c>
      <c r="M96" s="124">
        <f t="shared" ref="M96" si="31">IFERROR(M95/L95-1,"")</f>
        <v>8.0038989007414907E-2</v>
      </c>
      <c r="N96" s="124">
        <f t="shared" ref="N96" si="32">IFERROR(N95/M95-1,"")</f>
        <v>7.228814239911463E-2</v>
      </c>
      <c r="O96" s="124">
        <f t="shared" ref="O96" si="33">IFERROR(O95/N95-1,"")</f>
        <v>6.4562227019436147E-2</v>
      </c>
      <c r="P96" s="124">
        <f t="shared" ref="P96" si="34">IFERROR(P95/O95-1,"")</f>
        <v>5.6861252792849148E-2</v>
      </c>
      <c r="Q96" s="154">
        <f t="shared" ref="Q96" si="35">IFERROR(Q95/P95-1,"")</f>
        <v>4.918690721453034E-2</v>
      </c>
      <c r="R96" s="121"/>
      <c r="S96" s="121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</row>
    <row r="97" spans="1:41" ht="15">
      <c r="A97" s="132"/>
      <c r="B97" s="146"/>
      <c r="C97" s="122"/>
      <c r="D97" s="124"/>
      <c r="E97" s="124"/>
      <c r="F97" s="124"/>
      <c r="G97" s="124"/>
      <c r="H97" s="124"/>
      <c r="I97" s="124"/>
      <c r="J97" s="124"/>
      <c r="K97" s="124"/>
      <c r="L97" s="124"/>
      <c r="M97" s="125"/>
      <c r="N97" s="125"/>
      <c r="O97" s="125"/>
      <c r="P97" s="125"/>
      <c r="Q97" s="147"/>
      <c r="R97" s="126"/>
      <c r="S97" s="126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</row>
    <row r="98" spans="1:41" s="111" customFormat="1" ht="15">
      <c r="A98" s="112"/>
      <c r="B98" s="143" t="s">
        <v>135</v>
      </c>
      <c r="C98" s="118" t="s">
        <v>28</v>
      </c>
      <c r="D98" s="119">
        <f>'Historical Dataset'!F72</f>
        <v>38064</v>
      </c>
      <c r="E98" s="119">
        <f>'Historical Dataset'!G72</f>
        <v>38066</v>
      </c>
      <c r="F98" s="119">
        <f>'Historical Dataset'!H72</f>
        <v>38706</v>
      </c>
      <c r="G98" s="119">
        <f>'Historical Dataset'!I72</f>
        <v>43916</v>
      </c>
      <c r="H98" s="119">
        <f>'Historical Dataset'!J72</f>
        <v>43210</v>
      </c>
      <c r="I98" s="119">
        <f>'Historical Dataset'!K72</f>
        <v>46105</v>
      </c>
      <c r="J98" s="119">
        <f>'Historical Dataset'!L72</f>
        <v>57057</v>
      </c>
      <c r="K98" s="119">
        <f>'Historical Dataset'!M72</f>
        <v>69155</v>
      </c>
      <c r="L98" s="119">
        <f>'Historical Dataset'!N72</f>
        <v>68189</v>
      </c>
      <c r="M98" s="148">
        <f>M64*M101</f>
        <v>73425.140333938471</v>
      </c>
      <c r="N98" s="148">
        <f>N64*N101</f>
        <v>78494.233734827591</v>
      </c>
      <c r="O98" s="148">
        <f>O64*O101</f>
        <v>83306.833510939789</v>
      </c>
      <c r="P98" s="148">
        <f>P64*P101</f>
        <v>87772.949722039149</v>
      </c>
      <c r="Q98" s="149">
        <f>Q64*Q101</f>
        <v>91804.745562913537</v>
      </c>
      <c r="R98" s="121"/>
      <c r="S98" s="121"/>
    </row>
    <row r="99" spans="1:41" s="130" customFormat="1" ht="15">
      <c r="A99" s="131"/>
      <c r="B99" s="146" t="s">
        <v>123</v>
      </c>
      <c r="C99" s="127" t="s">
        <v>31</v>
      </c>
      <c r="D99" s="124"/>
      <c r="E99" s="124">
        <f t="shared" ref="E99:L99" si="36">IFERROR(E98/D98-1,"")</f>
        <v>5.2543085329981309E-5</v>
      </c>
      <c r="F99" s="124">
        <f t="shared" si="36"/>
        <v>1.6812903903746124E-2</v>
      </c>
      <c r="G99" s="124">
        <f t="shared" si="36"/>
        <v>0.13460445408980526</v>
      </c>
      <c r="H99" s="124">
        <f t="shared" si="36"/>
        <v>-1.6076145368430605E-2</v>
      </c>
      <c r="I99" s="124">
        <f t="shared" si="36"/>
        <v>6.6998380004628544E-2</v>
      </c>
      <c r="J99" s="124">
        <f t="shared" si="36"/>
        <v>0.23754473484437688</v>
      </c>
      <c r="K99" s="124">
        <f t="shared" si="36"/>
        <v>0.21203358045463316</v>
      </c>
      <c r="L99" s="124">
        <f t="shared" si="36"/>
        <v>-1.3968621213216736E-2</v>
      </c>
      <c r="M99" s="124">
        <f t="shared" ref="M99" si="37">IFERROR(M98/L98-1,"")</f>
        <v>7.6788636494720119E-2</v>
      </c>
      <c r="N99" s="124">
        <f t="shared" ref="N99" si="38">IFERROR(N98/M98-1,"")</f>
        <v>6.9037571843033829E-2</v>
      </c>
      <c r="O99" s="124">
        <f t="shared" ref="O99" si="39">IFERROR(O98/N98-1,"")</f>
        <v>6.1311507191347481E-2</v>
      </c>
      <c r="P99" s="124">
        <f t="shared" ref="P99" si="40">IFERROR(P98/O98-1,"")</f>
        <v>5.3610442539661296E-2</v>
      </c>
      <c r="Q99" s="154">
        <f t="shared" ref="Q99" si="41">IFERROR(Q98/P98-1,"")</f>
        <v>4.5934377887975053E-2</v>
      </c>
      <c r="R99" s="126"/>
      <c r="S99" s="126"/>
    </row>
    <row r="100" spans="1:41" s="130" customFormat="1" ht="15">
      <c r="A100" s="131"/>
      <c r="B100" s="146" t="s">
        <v>136</v>
      </c>
      <c r="C100" s="127" t="s">
        <v>31</v>
      </c>
      <c r="D100" s="124">
        <f t="shared" ref="D100:Q100" si="42">IFERROR(D98/D95,"")</f>
        <v>0.3168910312445366</v>
      </c>
      <c r="E100" s="124">
        <f t="shared" si="42"/>
        <v>0.30340419087699161</v>
      </c>
      <c r="F100" s="124">
        <f t="shared" si="42"/>
        <v>0.29081701654469772</v>
      </c>
      <c r="G100" s="124">
        <f t="shared" si="42"/>
        <v>0.32955372620235779</v>
      </c>
      <c r="H100" s="124">
        <f t="shared" si="42"/>
        <v>0.299819594782126</v>
      </c>
      <c r="I100" s="124">
        <f t="shared" si="42"/>
        <v>0.29300176671708378</v>
      </c>
      <c r="J100" s="124">
        <f t="shared" si="42"/>
        <v>0.29876841873762922</v>
      </c>
      <c r="K100" s="124">
        <f t="shared" si="42"/>
        <v>0.29921297317878359</v>
      </c>
      <c r="L100" s="124">
        <f t="shared" si="42"/>
        <v>0.31096204009412454</v>
      </c>
      <c r="M100" s="125">
        <f t="shared" si="42"/>
        <v>0.31002620698193145</v>
      </c>
      <c r="N100" s="125">
        <f t="shared" si="42"/>
        <v>0.30908638304825065</v>
      </c>
      <c r="O100" s="125">
        <f t="shared" si="42"/>
        <v>0.30814256482094021</v>
      </c>
      <c r="P100" s="125">
        <f t="shared" si="42"/>
        <v>0.30719474597857427</v>
      </c>
      <c r="Q100" s="147">
        <f t="shared" si="42"/>
        <v>0.30624242765150744</v>
      </c>
      <c r="R100" s="121"/>
      <c r="S100" s="121"/>
    </row>
    <row r="101" spans="1:41" ht="15">
      <c r="A101" s="102"/>
      <c r="B101" s="152" t="s">
        <v>137</v>
      </c>
      <c r="C101" s="56" t="s">
        <v>138</v>
      </c>
      <c r="D101" s="82">
        <f>IFERROR(D98/D64,"")</f>
        <v>17.80355472404116</v>
      </c>
      <c r="E101" s="82">
        <f>IFERROR(E98/E64,"")</f>
        <v>16.302355460385439</v>
      </c>
      <c r="F101" s="82">
        <f>IFERROR(F98/F64,"")</f>
        <v>16.359256128486898</v>
      </c>
      <c r="G101" s="82">
        <f>IFERROR(G98/G64,"")</f>
        <v>17.5103668261563</v>
      </c>
      <c r="H101" s="82">
        <f>IFERROR(H98/H64,"")</f>
        <v>16.429657794676807</v>
      </c>
      <c r="I101" s="82">
        <f>IFERROR(I98/I64,"")</f>
        <v>16.900659824046922</v>
      </c>
      <c r="J101" s="82">
        <f>IFERROR(J98/J64,"")</f>
        <v>20.392065761258042</v>
      </c>
      <c r="K101" s="82">
        <f>IFERROR(K98/K64,"")</f>
        <v>24.974720115565187</v>
      </c>
      <c r="L101" s="82">
        <f>IFERROR(L98/L64,"")</f>
        <v>21.968105670103093</v>
      </c>
      <c r="M101" s="155">
        <f>L101*(1+M102)</f>
        <v>22.627148840206186</v>
      </c>
      <c r="N101" s="155">
        <f>M101*(1+N102)</f>
        <v>23.249395433311857</v>
      </c>
      <c r="O101" s="155">
        <f>N101*(1+O102)</f>
        <v>23.830630319144653</v>
      </c>
      <c r="P101" s="155">
        <f>O101*(1+P102)</f>
        <v>24.366819501325406</v>
      </c>
      <c r="Q101" s="156">
        <f>P101*(1+Q102)</f>
        <v>24.854155891351915</v>
      </c>
      <c r="R101" s="126"/>
      <c r="S101" s="126"/>
    </row>
    <row r="102" spans="1:41" s="130" customFormat="1" ht="15">
      <c r="A102" s="131"/>
      <c r="B102" s="146" t="s">
        <v>139</v>
      </c>
      <c r="C102" s="127" t="s">
        <v>31</v>
      </c>
      <c r="D102" s="124"/>
      <c r="E102" s="124">
        <f t="shared" ref="E102:L102" si="43">IFERROR(E101/D101-1,"")</f>
        <v>-8.4320198237072597E-2</v>
      </c>
      <c r="F102" s="124">
        <f t="shared" si="43"/>
        <v>3.4903341569092472E-3</v>
      </c>
      <c r="G102" s="124">
        <f t="shared" si="43"/>
        <v>7.0364488985837026E-2</v>
      </c>
      <c r="H102" s="124">
        <f t="shared" si="43"/>
        <v>-6.1718240526244861E-2</v>
      </c>
      <c r="I102" s="124">
        <f t="shared" si="43"/>
        <v>2.8667793039653056E-2</v>
      </c>
      <c r="J102" s="124">
        <f t="shared" si="43"/>
        <v>0.20658400166385271</v>
      </c>
      <c r="K102" s="124">
        <f t="shared" si="43"/>
        <v>0.2247273232618503</v>
      </c>
      <c r="L102" s="124">
        <f t="shared" si="43"/>
        <v>-0.12038631190057902</v>
      </c>
      <c r="M102" s="125">
        <f>IFERROR(MAX(MIN(AVERAGE(J102:L102),D37),D36),0)</f>
        <v>0.03</v>
      </c>
      <c r="N102" s="125">
        <f>MAX(MIN(M102-D38,D37),D36)</f>
        <v>2.75E-2</v>
      </c>
      <c r="O102" s="125">
        <f>MAX(MIN(N102-D38,D37),D36)</f>
        <v>2.5000000000000001E-2</v>
      </c>
      <c r="P102" s="125">
        <f>MAX(MIN(O102-D38,D37),D36)</f>
        <v>2.2500000000000003E-2</v>
      </c>
      <c r="Q102" s="147">
        <f>MAX(MIN(P102-D38,D37),D36)</f>
        <v>2.0000000000000004E-2</v>
      </c>
      <c r="R102" s="121"/>
      <c r="S102" s="121"/>
    </row>
    <row r="103" spans="1:41" s="130" customFormat="1" ht="15">
      <c r="A103" s="131"/>
      <c r="B103" s="146"/>
      <c r="C103" s="127"/>
      <c r="D103" s="124"/>
      <c r="E103" s="124"/>
      <c r="F103" s="124"/>
      <c r="G103" s="124"/>
      <c r="H103" s="124"/>
      <c r="I103" s="124"/>
      <c r="J103" s="124"/>
      <c r="K103" s="124"/>
      <c r="L103" s="124"/>
      <c r="M103" s="125"/>
      <c r="N103" s="125"/>
      <c r="O103" s="125"/>
      <c r="P103" s="125"/>
      <c r="Q103" s="147"/>
      <c r="R103" s="126"/>
      <c r="S103" s="126"/>
    </row>
    <row r="104" spans="1:41" ht="15">
      <c r="A104" s="112"/>
      <c r="B104" s="143" t="s">
        <v>140</v>
      </c>
      <c r="C104" s="118" t="s">
        <v>28</v>
      </c>
      <c r="D104" s="119">
        <f>'Historical Dataset'!F73</f>
        <v>25590</v>
      </c>
      <c r="E104" s="119">
        <f>'Historical Dataset'!G73</f>
        <v>26995</v>
      </c>
      <c r="F104" s="119">
        <f>'Historical Dataset'!H73</f>
        <v>29314</v>
      </c>
      <c r="G104" s="119">
        <f>'Historical Dataset'!I73</f>
        <v>25553</v>
      </c>
      <c r="H104" s="119">
        <f>'Historical Dataset'!J73</f>
        <v>25953</v>
      </c>
      <c r="I104" s="119">
        <f>'Historical Dataset'!K73</f>
        <v>29799</v>
      </c>
      <c r="J104" s="119">
        <f>'Historical Dataset'!L73</f>
        <v>34811</v>
      </c>
      <c r="K104" s="119">
        <f>'Historical Dataset'!M73</f>
        <v>41998</v>
      </c>
      <c r="L104" s="119">
        <f>'Historical Dataset'!N73</f>
        <v>41715</v>
      </c>
      <c r="M104" s="148">
        <f>M68*M107</f>
        <v>45194.362293874598</v>
      </c>
      <c r="N104" s="148">
        <f>N68*N107</f>
        <v>48612.900506508937</v>
      </c>
      <c r="O104" s="148">
        <f>O68*O107</f>
        <v>51913.652281233488</v>
      </c>
      <c r="P104" s="148">
        <f>P68*P107</f>
        <v>55037.896292883634</v>
      </c>
      <c r="Q104" s="149">
        <f>Q68*Q107</f>
        <v>57926.803444576159</v>
      </c>
      <c r="R104" s="121"/>
      <c r="S104" s="12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</row>
    <row r="105" spans="1:41" ht="15">
      <c r="A105" s="131"/>
      <c r="B105" s="146" t="s">
        <v>123</v>
      </c>
      <c r="C105" s="127" t="s">
        <v>31</v>
      </c>
      <c r="D105" s="124"/>
      <c r="E105" s="124">
        <f t="shared" ref="E105:L105" si="44">IFERROR(E104/D104-1,"")</f>
        <v>5.4904259476358019E-2</v>
      </c>
      <c r="F105" s="124">
        <f t="shared" si="44"/>
        <v>8.5904797184663817E-2</v>
      </c>
      <c r="G105" s="124">
        <f t="shared" si="44"/>
        <v>-0.12830047076482232</v>
      </c>
      <c r="H105" s="124">
        <f t="shared" si="44"/>
        <v>1.5653739286972224E-2</v>
      </c>
      <c r="I105" s="124">
        <f t="shared" si="44"/>
        <v>0.14819096058259151</v>
      </c>
      <c r="J105" s="124">
        <f t="shared" si="44"/>
        <v>0.16819356354240078</v>
      </c>
      <c r="K105" s="124">
        <f t="shared" si="44"/>
        <v>0.20645772887880276</v>
      </c>
      <c r="L105" s="124">
        <f t="shared" si="44"/>
        <v>-6.738416115053103E-3</v>
      </c>
      <c r="M105" s="124">
        <f t="shared" ref="M105" si="45">IFERROR(M104/L104-1,"")</f>
        <v>8.3407941840455413E-2</v>
      </c>
      <c r="N105" s="124">
        <f t="shared" ref="N105" si="46">IFERROR(N104/M104-1,"")</f>
        <v>7.5640810913658374E-2</v>
      </c>
      <c r="O105" s="124">
        <f t="shared" ref="O105" si="47">IFERROR(O104/N104-1,"")</f>
        <v>6.7898679986860833E-2</v>
      </c>
      <c r="P105" s="124">
        <f t="shared" ref="P105" si="48">IFERROR(P104/O104-1,"")</f>
        <v>6.0181549060063899E-2</v>
      </c>
      <c r="Q105" s="154">
        <f t="shared" ref="Q105" si="49">IFERROR(Q104/P104-1,"")</f>
        <v>5.2489418133266463E-2</v>
      </c>
      <c r="R105" s="126"/>
      <c r="S105" s="126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</row>
    <row r="106" spans="1:41" ht="15">
      <c r="A106" s="131"/>
      <c r="B106" s="146" t="s">
        <v>136</v>
      </c>
      <c r="C106" s="127" t="s">
        <v>31</v>
      </c>
      <c r="D106" s="124">
        <f t="shared" ref="D106:Q106" si="50">IFERROR(D104/D95,"")</f>
        <v>0.21304228377332102</v>
      </c>
      <c r="E106" s="124">
        <f t="shared" si="50"/>
        <v>0.21516303611423288</v>
      </c>
      <c r="F106" s="124">
        <f t="shared" si="50"/>
        <v>0.22025034937713195</v>
      </c>
      <c r="G106" s="124">
        <f t="shared" si="50"/>
        <v>0.19175440307971695</v>
      </c>
      <c r="H106" s="124">
        <f t="shared" si="50"/>
        <v>0.18007910074937553</v>
      </c>
      <c r="I106" s="124">
        <f t="shared" si="50"/>
        <v>0.18937554812715279</v>
      </c>
      <c r="J106" s="124">
        <f t="shared" si="50"/>
        <v>0.18228135767172496</v>
      </c>
      <c r="K106" s="124">
        <f t="shared" si="50"/>
        <v>0.18171276766050978</v>
      </c>
      <c r="L106" s="124">
        <f t="shared" si="50"/>
        <v>0.19023275751992849</v>
      </c>
      <c r="M106" s="125">
        <f t="shared" si="50"/>
        <v>0.19082614830850814</v>
      </c>
      <c r="N106" s="125">
        <f t="shared" si="50"/>
        <v>0.19142279467051507</v>
      </c>
      <c r="O106" s="125">
        <f t="shared" si="50"/>
        <v>0.19202273437821943</v>
      </c>
      <c r="P106" s="125">
        <f t="shared" si="50"/>
        <v>0.1926260040756291</v>
      </c>
      <c r="Q106" s="147">
        <f t="shared" si="50"/>
        <v>0.19323233024813272</v>
      </c>
      <c r="R106" s="121"/>
      <c r="S106" s="121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</row>
    <row r="107" spans="1:41" ht="15">
      <c r="A107" s="102"/>
      <c r="B107" s="152" t="s">
        <v>141</v>
      </c>
      <c r="C107" s="56" t="s">
        <v>138</v>
      </c>
      <c r="D107" s="82">
        <f>IFERROR(D104/D68,"")</f>
        <v>21.307243963363863</v>
      </c>
      <c r="E107" s="82">
        <f>IFERROR(E104/E68,"")</f>
        <v>22.090834697217677</v>
      </c>
      <c r="F107" s="82">
        <f>IFERROR(F104/F68,"")</f>
        <v>23.4512</v>
      </c>
      <c r="G107" s="82">
        <f>IFERROR(G104/G68,"")</f>
        <v>20.248019017432647</v>
      </c>
      <c r="H107" s="82">
        <f>IFERROR(H104/H68,"")</f>
        <v>19.572398190045249</v>
      </c>
      <c r="I107" s="82">
        <f>IFERROR(I104/I68,"")</f>
        <v>20.21641791044776</v>
      </c>
      <c r="J107" s="82">
        <f>IFERROR(J104/J68,"")</f>
        <v>23.14561170212766</v>
      </c>
      <c r="K107" s="82">
        <f>IFERROR(K104/K68,"")</f>
        <v>27.521625163827</v>
      </c>
      <c r="L107" s="82">
        <f>IFERROR(L104/L68,"")</f>
        <v>24.394736842105264</v>
      </c>
      <c r="M107" s="155">
        <f>L107*(1+M108)</f>
        <v>25.126578947368422</v>
      </c>
      <c r="N107" s="155">
        <f>M107*(1+N108)</f>
        <v>25.817559868421057</v>
      </c>
      <c r="O107" s="155">
        <f>N107*(1+O108)</f>
        <v>26.462998865131581</v>
      </c>
      <c r="P107" s="155">
        <f>O107*(1+P108)</f>
        <v>27.058416339597041</v>
      </c>
      <c r="Q107" s="156">
        <f>P107*(1+Q108)</f>
        <v>27.599584666388981</v>
      </c>
      <c r="R107" s="126"/>
      <c r="S107" s="126"/>
    </row>
    <row r="108" spans="1:41" ht="15">
      <c r="A108" s="131"/>
      <c r="B108" s="146" t="s">
        <v>139</v>
      </c>
      <c r="C108" s="127" t="s">
        <v>31</v>
      </c>
      <c r="D108" s="124"/>
      <c r="E108" s="124">
        <f t="shared" ref="E108:L108" si="51">IFERROR(E107/D107-1,"")</f>
        <v>3.6775790205487713E-2</v>
      </c>
      <c r="F108" s="124">
        <f t="shared" si="51"/>
        <v>6.1580529727727429E-2</v>
      </c>
      <c r="G108" s="124">
        <f t="shared" si="51"/>
        <v>-0.13658921430747051</v>
      </c>
      <c r="H108" s="124">
        <f t="shared" si="51"/>
        <v>-3.3367255671071794E-2</v>
      </c>
      <c r="I108" s="124">
        <f t="shared" si="51"/>
        <v>3.2904486928437171E-2</v>
      </c>
      <c r="J108" s="124">
        <f t="shared" si="51"/>
        <v>0.14489183022706031</v>
      </c>
      <c r="K108" s="124">
        <f t="shared" si="51"/>
        <v>0.18906449818723425</v>
      </c>
      <c r="L108" s="124">
        <f t="shared" si="51"/>
        <v>-0.11361568595998306</v>
      </c>
      <c r="M108" s="125">
        <f>IFERROR(MAX(MIN(AVERAGE(J108:L108),D37),D36),0)</f>
        <v>0.03</v>
      </c>
      <c r="N108" s="125">
        <f>MAX(MIN(M108-D38,D37),D36)</f>
        <v>2.75E-2</v>
      </c>
      <c r="O108" s="125">
        <f>MAX(MIN(N108-D38,D37),D36)</f>
        <v>2.5000000000000001E-2</v>
      </c>
      <c r="P108" s="125">
        <f>MAX(MIN(O108-D38,D37),D36)</f>
        <v>2.2500000000000003E-2</v>
      </c>
      <c r="Q108" s="147">
        <f>MAX(MIN(P108-D38,D37),D36)</f>
        <v>2.0000000000000004E-2</v>
      </c>
      <c r="R108" s="121"/>
      <c r="S108" s="121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</row>
    <row r="109" spans="1:41" ht="15">
      <c r="A109" s="131"/>
      <c r="B109" s="146"/>
      <c r="C109" s="127"/>
      <c r="D109" s="124"/>
      <c r="E109" s="124"/>
      <c r="F109" s="124"/>
      <c r="G109" s="124"/>
      <c r="H109" s="124"/>
      <c r="I109" s="124"/>
      <c r="J109" s="124"/>
      <c r="K109" s="124"/>
      <c r="L109" s="124"/>
      <c r="M109" s="125"/>
      <c r="N109" s="125"/>
      <c r="O109" s="125"/>
      <c r="P109" s="125"/>
      <c r="Q109" s="147"/>
      <c r="R109" s="126"/>
      <c r="S109" s="126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</row>
    <row r="110" spans="1:41" ht="15">
      <c r="A110" s="112"/>
      <c r="B110" s="143" t="s">
        <v>142</v>
      </c>
      <c r="C110" s="118" t="s">
        <v>28</v>
      </c>
      <c r="D110" s="119">
        <f>'Historical Dataset'!F74</f>
        <v>55706</v>
      </c>
      <c r="E110" s="119">
        <f>'Historical Dataset'!G74</f>
        <v>59528</v>
      </c>
      <c r="F110" s="119">
        <f>'Historical Dataset'!H74</f>
        <v>63870</v>
      </c>
      <c r="G110" s="119">
        <f>'Historical Dataset'!I74</f>
        <v>62818</v>
      </c>
      <c r="H110" s="119">
        <f>'Historical Dataset'!J74</f>
        <v>73887</v>
      </c>
      <c r="I110" s="119">
        <f>'Historical Dataset'!K74</f>
        <v>80261</v>
      </c>
      <c r="J110" s="119">
        <f>'Historical Dataset'!L74</f>
        <v>97596</v>
      </c>
      <c r="K110" s="119">
        <f>'Historical Dataset'!M74</f>
        <v>117692</v>
      </c>
      <c r="L110" s="119">
        <f>'Historical Dataset'!N74</f>
        <v>106493</v>
      </c>
      <c r="M110" s="148">
        <f>M72*M113</f>
        <v>115091.46683679587</v>
      </c>
      <c r="N110" s="148">
        <f>N72*N113</f>
        <v>123491.00602303489</v>
      </c>
      <c r="O110" s="148">
        <f>O72*O113</f>
        <v>131548.27105835505</v>
      </c>
      <c r="P110" s="148">
        <f>P72*P113</f>
        <v>139116.91446233075</v>
      </c>
      <c r="Q110" s="149">
        <f>Q72*Q113</f>
        <v>146051.81518822507</v>
      </c>
      <c r="R110" s="121"/>
      <c r="S110" s="12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</row>
    <row r="111" spans="1:41" ht="15">
      <c r="A111" s="131"/>
      <c r="B111" s="146" t="s">
        <v>123</v>
      </c>
      <c r="C111" s="127" t="s">
        <v>31</v>
      </c>
      <c r="D111" s="124"/>
      <c r="E111" s="124">
        <f t="shared" ref="E111:L111" si="52">IFERROR(E110/D110-1,"")</f>
        <v>6.8610203568735928E-2</v>
      </c>
      <c r="F111" s="124">
        <f t="shared" si="52"/>
        <v>7.2940464991264609E-2</v>
      </c>
      <c r="G111" s="124">
        <f t="shared" si="52"/>
        <v>-1.6470956630656008E-2</v>
      </c>
      <c r="H111" s="124">
        <f t="shared" si="52"/>
        <v>0.17620745646152369</v>
      </c>
      <c r="I111" s="124">
        <f t="shared" si="52"/>
        <v>8.6266866972539047E-2</v>
      </c>
      <c r="J111" s="124">
        <f t="shared" si="52"/>
        <v>0.21598285593252009</v>
      </c>
      <c r="K111" s="124">
        <f t="shared" si="52"/>
        <v>0.20591007828189678</v>
      </c>
      <c r="L111" s="124">
        <f t="shared" si="52"/>
        <v>-9.5155150732420202E-2</v>
      </c>
      <c r="M111" s="124">
        <f t="shared" ref="M111" si="53">IFERROR(M110/L110-1,"")</f>
        <v>8.0742084801779246E-2</v>
      </c>
      <c r="N111" s="124">
        <f t="shared" ref="N111" si="54">IFERROR(N110/M110-1,"")</f>
        <v>7.2981424401775019E-2</v>
      </c>
      <c r="O111" s="124">
        <f t="shared" ref="O111" si="55">IFERROR(O110/N110-1,"")</f>
        <v>6.5245764001770512E-2</v>
      </c>
      <c r="P111" s="124">
        <f t="shared" ref="P111" si="56">IFERROR(P110/O110-1,"")</f>
        <v>5.7535103601766391E-2</v>
      </c>
      <c r="Q111" s="154">
        <f t="shared" ref="Q111" si="57">IFERROR(Q110/P110-1,"")</f>
        <v>4.9849443201761767E-2</v>
      </c>
      <c r="R111" s="126"/>
      <c r="S111" s="126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</row>
    <row r="112" spans="1:41" ht="15">
      <c r="A112" s="131"/>
      <c r="B112" s="146" t="s">
        <v>136</v>
      </c>
      <c r="C112" s="127" t="s">
        <v>31</v>
      </c>
      <c r="D112" s="124">
        <f t="shared" ref="D112:Q112" si="58">IFERROR(D110/D95,"")</f>
        <v>0.46376449628279093</v>
      </c>
      <c r="E112" s="124">
        <f t="shared" si="58"/>
        <v>0.47446657580322488</v>
      </c>
      <c r="F112" s="124">
        <f t="shared" si="58"/>
        <v>0.47988639608096534</v>
      </c>
      <c r="G112" s="124">
        <f t="shared" si="58"/>
        <v>0.47139780427588379</v>
      </c>
      <c r="H112" s="124">
        <f t="shared" si="58"/>
        <v>0.512676935886761</v>
      </c>
      <c r="I112" s="124">
        <f t="shared" si="58"/>
        <v>0.51006647431905128</v>
      </c>
      <c r="J112" s="124">
        <f t="shared" si="58"/>
        <v>0.51104338810518712</v>
      </c>
      <c r="K112" s="124">
        <f t="shared" si="58"/>
        <v>0.5092180354183703</v>
      </c>
      <c r="L112" s="124">
        <f t="shared" si="58"/>
        <v>0.48563962715017966</v>
      </c>
      <c r="M112" s="125">
        <f t="shared" si="58"/>
        <v>0.48595577423644337</v>
      </c>
      <c r="N112" s="125">
        <f t="shared" si="58"/>
        <v>0.48626996627032459</v>
      </c>
      <c r="O112" s="125">
        <f t="shared" si="58"/>
        <v>0.48658219180013218</v>
      </c>
      <c r="P112" s="125">
        <f t="shared" si="58"/>
        <v>0.4868924347981442</v>
      </c>
      <c r="Q112" s="147">
        <f t="shared" si="58"/>
        <v>0.48719989551629311</v>
      </c>
      <c r="R112" s="121"/>
      <c r="S112" s="121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</row>
    <row r="113" spans="1:41" ht="15" customHeight="1">
      <c r="A113" s="102"/>
      <c r="B113" s="152" t="s">
        <v>143</v>
      </c>
      <c r="C113" s="56" t="s">
        <v>138</v>
      </c>
      <c r="D113" s="82">
        <f>IFERROR(D110/D72,"")</f>
        <v>13.05813408345054</v>
      </c>
      <c r="E113" s="82">
        <f>IFERROR(E110/E72,"")</f>
        <v>14.089467455621302</v>
      </c>
      <c r="F113" s="82">
        <f>IFERROR(F110/F72,"")</f>
        <v>14.31420887494397</v>
      </c>
      <c r="G113" s="82">
        <f>IFERROR(G110/G72,"")</f>
        <v>14.581708449396471</v>
      </c>
      <c r="H113" s="82">
        <f>IFERROR(H110/H72,"")</f>
        <v>16.368409392999556</v>
      </c>
      <c r="I113" s="82">
        <f>IFERROR(I110/I72,"")</f>
        <v>16.545248402391259</v>
      </c>
      <c r="J113" s="82">
        <f>IFERROR(J110/J72,"")</f>
        <v>18.9986373369671</v>
      </c>
      <c r="K113" s="82">
        <f>IFERROR(K110/K72,"")</f>
        <v>21.73444136657433</v>
      </c>
      <c r="L113" s="82">
        <f>IFERROR(L110/L72,"")</f>
        <v>19.006425129394966</v>
      </c>
      <c r="M113" s="155">
        <f>L113*(1+M114)</f>
        <v>19.576617883276814</v>
      </c>
      <c r="N113" s="155">
        <f>M113*(1+N114)</f>
        <v>20.114974875066927</v>
      </c>
      <c r="O113" s="155">
        <f>N113*(1+O114)</f>
        <v>20.617849246943599</v>
      </c>
      <c r="P113" s="155">
        <f>O113*(1+P114)</f>
        <v>21.081750854999829</v>
      </c>
      <c r="Q113" s="156">
        <f>P113*(1+Q114)</f>
        <v>21.503385872099827</v>
      </c>
      <c r="R113" s="126"/>
      <c r="S113" s="126"/>
    </row>
    <row r="114" spans="1:41" ht="15">
      <c r="A114" s="131"/>
      <c r="B114" s="146" t="s">
        <v>139</v>
      </c>
      <c r="C114" s="127" t="s">
        <v>31</v>
      </c>
      <c r="D114" s="124"/>
      <c r="E114" s="124">
        <f t="shared" ref="E114:L114" si="59">IFERROR(E113/D113-1,"")</f>
        <v>7.8980148739461908E-2</v>
      </c>
      <c r="F114" s="124">
        <f t="shared" si="59"/>
        <v>1.5951022991504527E-2</v>
      </c>
      <c r="G114" s="124">
        <f t="shared" si="59"/>
        <v>1.8687695337514576E-2</v>
      </c>
      <c r="H114" s="124">
        <f t="shared" si="59"/>
        <v>0.1225302885326196</v>
      </c>
      <c r="I114" s="124">
        <f t="shared" si="59"/>
        <v>1.0803677079785912E-2</v>
      </c>
      <c r="J114" s="124">
        <f t="shared" si="59"/>
        <v>0.14828359628745469</v>
      </c>
      <c r="K114" s="124">
        <f t="shared" si="59"/>
        <v>0.1440000133211643</v>
      </c>
      <c r="L114" s="124">
        <f t="shared" si="59"/>
        <v>-0.12551582031341346</v>
      </c>
      <c r="M114" s="125">
        <f>IFERROR(MAX(MIN(AVERAGE(J114:L114),D37),D36),0)</f>
        <v>0.03</v>
      </c>
      <c r="N114" s="125">
        <f>MAX(MIN(M114-D38,D37),D36)</f>
        <v>2.75E-2</v>
      </c>
      <c r="O114" s="125">
        <f>MAX(MIN(N114-D38,D37),D36)</f>
        <v>2.5000000000000001E-2</v>
      </c>
      <c r="P114" s="125">
        <f>MAX(MIN(O114-D38,D37),D36)</f>
        <v>2.2500000000000003E-2</v>
      </c>
      <c r="Q114" s="147">
        <f>MAX(MIN(P114-D38,D37),D36)</f>
        <v>2.0000000000000004E-2</v>
      </c>
      <c r="R114" s="121"/>
      <c r="S114" s="121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</row>
    <row r="115" spans="1:41" ht="15">
      <c r="A115" s="131"/>
      <c r="B115" s="146"/>
      <c r="C115" s="127"/>
      <c r="D115" s="124"/>
      <c r="E115" s="124"/>
      <c r="F115" s="124"/>
      <c r="G115" s="124"/>
      <c r="H115" s="124"/>
      <c r="I115" s="124"/>
      <c r="J115" s="124"/>
      <c r="K115" s="124"/>
      <c r="L115" s="124"/>
      <c r="M115" s="125"/>
      <c r="N115" s="125"/>
      <c r="O115" s="125"/>
      <c r="P115" s="125"/>
      <c r="Q115" s="147"/>
      <c r="R115" s="126"/>
      <c r="S115" s="126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</row>
    <row r="116" spans="1:41" ht="15">
      <c r="A116" s="112"/>
      <c r="B116" s="143" t="s">
        <v>144</v>
      </c>
      <c r="C116" s="118" t="s">
        <v>28</v>
      </c>
      <c r="D116" s="119">
        <f>'Historical Dataset'!F75</f>
        <v>414</v>
      </c>
      <c r="E116" s="119">
        <f>'Historical Dataset'!G75</f>
        <v>464</v>
      </c>
      <c r="F116" s="119">
        <f>'Historical Dataset'!H75</f>
        <v>658</v>
      </c>
      <c r="G116" s="119">
        <f>'Historical Dataset'!I75</f>
        <v>766</v>
      </c>
      <c r="H116" s="119">
        <f>'Historical Dataset'!J75</f>
        <v>821</v>
      </c>
      <c r="I116" s="119">
        <f>'Historical Dataset'!K75</f>
        <v>923</v>
      </c>
      <c r="J116" s="119">
        <f>'Historical Dataset'!L75</f>
        <v>948</v>
      </c>
      <c r="K116" s="119">
        <f>'Historical Dataset'!M75</f>
        <v>1318</v>
      </c>
      <c r="L116" s="119">
        <f>'Historical Dataset'!N75</f>
        <v>1640</v>
      </c>
      <c r="M116" s="148">
        <f>M76*M119</f>
        <v>1790.5519999999999</v>
      </c>
      <c r="N116" s="148">
        <f>N76*N119</f>
        <v>1940.9807498999999</v>
      </c>
      <c r="O116" s="148">
        <f>O76*O119</f>
        <v>2088.9805320798746</v>
      </c>
      <c r="P116" s="148">
        <f>P76*P119</f>
        <v>2232.1018107839968</v>
      </c>
      <c r="Q116" s="149">
        <f>Q76*Q119</f>
        <v>2367.8136008796641</v>
      </c>
      <c r="R116" s="121"/>
      <c r="S116" s="12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</row>
    <row r="117" spans="1:41" ht="15">
      <c r="A117" s="131"/>
      <c r="B117" s="146" t="s">
        <v>123</v>
      </c>
      <c r="C117" s="127" t="s">
        <v>31</v>
      </c>
      <c r="D117" s="124"/>
      <c r="E117" s="124">
        <f t="shared" ref="E117:L117" si="60">IFERROR(E116/D116-1,"")</f>
        <v>0.12077294685990347</v>
      </c>
      <c r="F117" s="124">
        <f t="shared" si="60"/>
        <v>0.4181034482758621</v>
      </c>
      <c r="G117" s="124">
        <f t="shared" si="60"/>
        <v>0.16413373860182379</v>
      </c>
      <c r="H117" s="124">
        <f t="shared" si="60"/>
        <v>7.1801566579634546E-2</v>
      </c>
      <c r="I117" s="124">
        <f t="shared" si="60"/>
        <v>0.12423873325213153</v>
      </c>
      <c r="J117" s="124">
        <f t="shared" si="60"/>
        <v>2.7085590465872222E-2</v>
      </c>
      <c r="K117" s="124">
        <f t="shared" si="60"/>
        <v>0.39029535864978904</v>
      </c>
      <c r="L117" s="124">
        <f t="shared" si="60"/>
        <v>0.24430955993930192</v>
      </c>
      <c r="M117" s="124">
        <f t="shared" ref="M117" si="61">IFERROR(M116/L116-1,"")</f>
        <v>9.1799999999999882E-2</v>
      </c>
      <c r="N117" s="124">
        <f t="shared" ref="N117" si="62">IFERROR(N116/M116-1,"")</f>
        <v>8.4012500000000045E-2</v>
      </c>
      <c r="O117" s="124">
        <f t="shared" ref="O117" si="63">IFERROR(O116/N116-1,"")</f>
        <v>7.6249999999999929E-2</v>
      </c>
      <c r="P117" s="124">
        <f t="shared" ref="P117" si="64">IFERROR(P116/O116-1,"")</f>
        <v>6.8512499999999976E-2</v>
      </c>
      <c r="Q117" s="154">
        <f t="shared" ref="Q117" si="65">IFERROR(Q116/P116-1,"")</f>
        <v>6.0800000000000187E-2</v>
      </c>
      <c r="R117" s="126"/>
      <c r="S117" s="126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</row>
    <row r="118" spans="1:41" ht="15">
      <c r="A118" s="131"/>
      <c r="B118" s="146" t="s">
        <v>136</v>
      </c>
      <c r="C118" s="127" t="s">
        <v>31</v>
      </c>
      <c r="D118" s="124">
        <f t="shared" ref="D118:Q118" si="66">IFERROR(D116/D95,"")</f>
        <v>3.4466395264616998E-3</v>
      </c>
      <c r="E118" s="124">
        <f t="shared" si="66"/>
        <v>3.6983014912763124E-3</v>
      </c>
      <c r="F118" s="124">
        <f t="shared" si="66"/>
        <v>4.9438742542864443E-3</v>
      </c>
      <c r="G118" s="124">
        <f t="shared" si="66"/>
        <v>5.7482046240779237E-3</v>
      </c>
      <c r="H118" s="124">
        <f t="shared" si="66"/>
        <v>5.696641687482653E-3</v>
      </c>
      <c r="I118" s="124">
        <f t="shared" si="66"/>
        <v>5.8657549220229544E-3</v>
      </c>
      <c r="J118" s="124">
        <f t="shared" si="66"/>
        <v>4.9640265166986082E-3</v>
      </c>
      <c r="K118" s="124">
        <f t="shared" si="66"/>
        <v>5.7025912609303267E-3</v>
      </c>
      <c r="L118" s="124">
        <f t="shared" si="66"/>
        <v>7.4788858284234143E-3</v>
      </c>
      <c r="M118" s="125">
        <f t="shared" si="66"/>
        <v>7.56032664614909E-3</v>
      </c>
      <c r="N118" s="125">
        <f t="shared" si="66"/>
        <v>7.6429909689873839E-3</v>
      </c>
      <c r="O118" s="125">
        <f t="shared" si="66"/>
        <v>7.7269029668685495E-3</v>
      </c>
      <c r="P118" s="125">
        <f t="shared" si="66"/>
        <v>7.8120873336666929E-3</v>
      </c>
      <c r="Q118" s="147">
        <f t="shared" si="66"/>
        <v>7.8985566695211808E-3</v>
      </c>
      <c r="R118" s="121"/>
      <c r="S118" s="121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</row>
    <row r="119" spans="1:41" ht="15">
      <c r="A119" s="102"/>
      <c r="B119" s="152" t="s">
        <v>145</v>
      </c>
      <c r="C119" s="56" t="s">
        <v>138</v>
      </c>
      <c r="D119" s="82">
        <f>IFERROR(D116/D76,"")</f>
        <v>7.5272727272727273</v>
      </c>
      <c r="E119" s="82">
        <f>IFERROR(E116/E76,"")</f>
        <v>7.0303030303030303</v>
      </c>
      <c r="F119" s="82">
        <f>IFERROR(F116/F76,"")</f>
        <v>9.6764705882352935</v>
      </c>
      <c r="G119" s="82">
        <f>IFERROR(G116/G76,"")</f>
        <v>10.078947368421053</v>
      </c>
      <c r="H119" s="82">
        <f>IFERROR(H116/H76,"")</f>
        <v>9.7738095238095237</v>
      </c>
      <c r="I119" s="82">
        <f>IFERROR(I116/I76,"")</f>
        <v>9.715789473684211</v>
      </c>
      <c r="J119" s="82">
        <f>IFERROR(J116/J76,"")</f>
        <v>9.5757575757575761</v>
      </c>
      <c r="K119" s="82">
        <f>IFERROR(K116/K76,"")</f>
        <v>12.921568627450981</v>
      </c>
      <c r="L119" s="82">
        <f>IFERROR(L116/L76,"")</f>
        <v>11.081081081081081</v>
      </c>
      <c r="M119" s="155">
        <f>L119*(1+M120)</f>
        <v>11.413513513513513</v>
      </c>
      <c r="N119" s="155">
        <f>M119*(1+N120)</f>
        <v>11.727385135135135</v>
      </c>
      <c r="O119" s="155">
        <f>N119*(1+O120)</f>
        <v>12.020569763513512</v>
      </c>
      <c r="P119" s="155">
        <f>O119*(1+P120)</f>
        <v>12.291032583192566</v>
      </c>
      <c r="Q119" s="156">
        <f>P119*(1+Q120)</f>
        <v>12.536853234856418</v>
      </c>
      <c r="R119" s="126"/>
      <c r="S119" s="126"/>
    </row>
    <row r="120" spans="1:41" ht="15">
      <c r="A120" s="131"/>
      <c r="B120" s="146" t="s">
        <v>139</v>
      </c>
      <c r="C120" s="127" t="s">
        <v>31</v>
      </c>
      <c r="D120" s="124"/>
      <c r="E120" s="124">
        <f t="shared" ref="E120:L120" si="67">IFERROR(E119/D119-1,"")</f>
        <v>-6.6022544283413809E-2</v>
      </c>
      <c r="F120" s="124">
        <f t="shared" si="67"/>
        <v>0.37639452332657197</v>
      </c>
      <c r="G120" s="124">
        <f t="shared" si="67"/>
        <v>4.1593345064789844E-2</v>
      </c>
      <c r="H120" s="124">
        <f t="shared" si="67"/>
        <v>-3.0274773094616458E-2</v>
      </c>
      <c r="I120" s="124">
        <f t="shared" si="67"/>
        <v>-5.9362779665362853E-3</v>
      </c>
      <c r="J120" s="124">
        <f t="shared" si="67"/>
        <v>-1.4412817229718655E-2</v>
      </c>
      <c r="K120" s="124">
        <f t="shared" si="67"/>
        <v>0.34940431868950106</v>
      </c>
      <c r="L120" s="124">
        <f t="shared" si="67"/>
        <v>-0.1424353032850757</v>
      </c>
      <c r="M120" s="125">
        <f>IFERROR(MAX(MIN(AVERAGE(J120:L120),D37),D36),0)</f>
        <v>0.03</v>
      </c>
      <c r="N120" s="125">
        <f>MAX(MIN(M120-D38,D37),D36)</f>
        <v>2.75E-2</v>
      </c>
      <c r="O120" s="125">
        <f>MAX(MIN(N120-D38,D37),D36)</f>
        <v>2.5000000000000001E-2</v>
      </c>
      <c r="P120" s="125">
        <f>MAX(MIN(O120-D38,D37),D36)</f>
        <v>2.2500000000000003E-2</v>
      </c>
      <c r="Q120" s="147">
        <f>MAX(MIN(P120-D38,D37),D36)</f>
        <v>2.0000000000000004E-2</v>
      </c>
      <c r="R120" s="121"/>
      <c r="S120" s="121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</row>
    <row r="121" spans="1:41" ht="15">
      <c r="A121" s="131"/>
      <c r="B121" s="146"/>
      <c r="C121" s="127"/>
      <c r="D121" s="124"/>
      <c r="E121" s="124"/>
      <c r="F121" s="124"/>
      <c r="G121" s="124"/>
      <c r="H121" s="124"/>
      <c r="I121" s="124"/>
      <c r="J121" s="124"/>
      <c r="K121" s="124"/>
      <c r="L121" s="124"/>
      <c r="M121" s="125"/>
      <c r="N121" s="125"/>
      <c r="O121" s="125"/>
      <c r="P121" s="125"/>
      <c r="Q121" s="147"/>
      <c r="R121" s="126"/>
      <c r="S121" s="126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</row>
    <row r="122" spans="1:41" ht="15">
      <c r="A122" s="112"/>
      <c r="B122" s="143" t="s">
        <v>146</v>
      </c>
      <c r="C122" s="118" t="s">
        <v>28</v>
      </c>
      <c r="D122" s="119">
        <f>'Historical Dataset'!F76</f>
        <v>0</v>
      </c>
      <c r="E122" s="119">
        <f>'Historical Dataset'!G76</f>
        <v>0</v>
      </c>
      <c r="F122" s="119">
        <f>'Historical Dataset'!H76</f>
        <v>0</v>
      </c>
      <c r="G122" s="119">
        <f>'Historical Dataset'!I76</f>
        <v>0</v>
      </c>
      <c r="H122" s="119">
        <f>'Historical Dataset'!J76</f>
        <v>0</v>
      </c>
      <c r="I122" s="119">
        <f>'Historical Dataset'!K76</f>
        <v>0</v>
      </c>
      <c r="J122" s="119">
        <f>'Historical Dataset'!L76</f>
        <v>0</v>
      </c>
      <c r="K122" s="119">
        <f>'Historical Dataset'!M76</f>
        <v>24</v>
      </c>
      <c r="L122" s="119">
        <f>'Historical Dataset'!N76</f>
        <v>85</v>
      </c>
      <c r="M122" s="148">
        <f>M80*M125</f>
        <v>90.100000000000009</v>
      </c>
      <c r="N122" s="148">
        <f>N80*N125</f>
        <v>95.055500000000009</v>
      </c>
      <c r="O122" s="148">
        <f>O80*O125</f>
        <v>99.808275000000009</v>
      </c>
      <c r="P122" s="148">
        <f>P80*P125</f>
        <v>104.29964737500001</v>
      </c>
      <c r="Q122" s="149">
        <f>Q80*Q125</f>
        <v>108.47163327000001</v>
      </c>
      <c r="R122" s="121"/>
      <c r="S122" s="12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</row>
    <row r="123" spans="1:41" ht="15">
      <c r="A123" s="131"/>
      <c r="B123" s="146" t="s">
        <v>123</v>
      </c>
      <c r="C123" s="127" t="s">
        <v>31</v>
      </c>
      <c r="D123" s="124"/>
      <c r="E123" s="124" t="str">
        <f t="shared" ref="E123:L123" si="68">IFERROR(E122/D122-1,"")</f>
        <v/>
      </c>
      <c r="F123" s="124" t="str">
        <f t="shared" si="68"/>
        <v/>
      </c>
      <c r="G123" s="124" t="str">
        <f t="shared" si="68"/>
        <v/>
      </c>
      <c r="H123" s="124" t="str">
        <f t="shared" si="68"/>
        <v/>
      </c>
      <c r="I123" s="124" t="str">
        <f t="shared" si="68"/>
        <v/>
      </c>
      <c r="J123" s="124" t="str">
        <f t="shared" si="68"/>
        <v/>
      </c>
      <c r="K123" s="124" t="str">
        <f t="shared" si="68"/>
        <v/>
      </c>
      <c r="L123" s="124">
        <f t="shared" si="68"/>
        <v>2.5416666666666665</v>
      </c>
      <c r="M123" s="124">
        <f t="shared" ref="M123" si="69">IFERROR(M122/L122-1,"")</f>
        <v>6.0000000000000053E-2</v>
      </c>
      <c r="N123" s="124">
        <f t="shared" ref="N123" si="70">IFERROR(N122/M122-1,"")</f>
        <v>5.4999999999999938E-2</v>
      </c>
      <c r="O123" s="124">
        <f t="shared" ref="O123" si="71">IFERROR(O122/N122-1,"")</f>
        <v>5.0000000000000044E-2</v>
      </c>
      <c r="P123" s="124">
        <f t="shared" ref="P123" si="72">IFERROR(P122/O122-1,"")</f>
        <v>4.4999999999999929E-2</v>
      </c>
      <c r="Q123" s="154">
        <f t="shared" ref="Q123" si="73">IFERROR(Q122/P122-1,"")</f>
        <v>4.0000000000000036E-2</v>
      </c>
      <c r="R123" s="126"/>
      <c r="S123" s="126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</row>
    <row r="124" spans="1:41" ht="15">
      <c r="A124" s="131"/>
      <c r="B124" s="146" t="s">
        <v>136</v>
      </c>
      <c r="C124" s="127" t="s">
        <v>31</v>
      </c>
      <c r="D124" s="124">
        <f t="shared" ref="D124:Q124" si="74">IFERROR(D122/D95,"")</f>
        <v>0</v>
      </c>
      <c r="E124" s="124">
        <f t="shared" si="74"/>
        <v>0</v>
      </c>
      <c r="F124" s="124">
        <f t="shared" si="74"/>
        <v>0</v>
      </c>
      <c r="G124" s="124">
        <f t="shared" si="74"/>
        <v>0</v>
      </c>
      <c r="H124" s="124">
        <f t="shared" si="74"/>
        <v>0</v>
      </c>
      <c r="I124" s="124">
        <f t="shared" si="74"/>
        <v>0</v>
      </c>
      <c r="J124" s="124">
        <f t="shared" si="74"/>
        <v>0</v>
      </c>
      <c r="K124" s="124">
        <f t="shared" si="74"/>
        <v>1.0384081203515011E-4</v>
      </c>
      <c r="L124" s="124">
        <f t="shared" si="74"/>
        <v>3.8762518013170133E-4</v>
      </c>
      <c r="M124" s="125">
        <f t="shared" si="74"/>
        <v>3.8043320206172906E-4</v>
      </c>
      <c r="N124" s="125">
        <f t="shared" si="74"/>
        <v>3.7429960502700005E-4</v>
      </c>
      <c r="O124" s="125">
        <f t="shared" si="74"/>
        <v>3.691795324907528E-4</v>
      </c>
      <c r="P124" s="125">
        <f t="shared" si="74"/>
        <v>3.6503619603173604E-4</v>
      </c>
      <c r="Q124" s="147">
        <f t="shared" si="74"/>
        <v>3.6183986024082164E-4</v>
      </c>
      <c r="R124" s="121"/>
      <c r="S124" s="121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</row>
    <row r="125" spans="1:41" ht="15">
      <c r="A125" s="102"/>
      <c r="B125" s="152" t="s">
        <v>147</v>
      </c>
      <c r="C125" s="56" t="s">
        <v>138</v>
      </c>
      <c r="D125" s="82" t="str">
        <f>IFERROR(D122/D80,"")</f>
        <v/>
      </c>
      <c r="E125" s="82" t="str">
        <f>IFERROR(E122/E80,"")</f>
        <v/>
      </c>
      <c r="F125" s="82" t="str">
        <f>IFERROR(F122/F80,"")</f>
        <v/>
      </c>
      <c r="G125" s="82" t="str">
        <f>IFERROR(G122/G80,"")</f>
        <v/>
      </c>
      <c r="H125" s="82" t="str">
        <f>IFERROR(H122/H80,"")</f>
        <v/>
      </c>
      <c r="I125" s="82" t="str">
        <f>IFERROR(I122/I80,"")</f>
        <v/>
      </c>
      <c r="J125" s="82" t="str">
        <f>IFERROR(J122/J80,"")</f>
        <v/>
      </c>
      <c r="K125" s="82">
        <f>IFERROR(K122/K80,"")</f>
        <v>19.35483870967742</v>
      </c>
      <c r="L125" s="82">
        <f>IFERROR(L122/L80,"")</f>
        <v>17.418032786885245</v>
      </c>
      <c r="M125" s="155">
        <f>L125*(1+M126)</f>
        <v>17.418032786885245</v>
      </c>
      <c r="N125" s="155">
        <f>M125*(1+N126)</f>
        <v>17.418032786885245</v>
      </c>
      <c r="O125" s="155">
        <f>N125*(1+O126)</f>
        <v>17.418032786885245</v>
      </c>
      <c r="P125" s="155">
        <f>O125*(1+P126)</f>
        <v>17.418032786885245</v>
      </c>
      <c r="Q125" s="156">
        <f>P125*(1+Q126)</f>
        <v>17.418032786885245</v>
      </c>
      <c r="R125" s="126"/>
      <c r="S125" s="126"/>
    </row>
    <row r="126" spans="1:41" ht="15">
      <c r="A126" s="131"/>
      <c r="B126" s="146" t="s">
        <v>139</v>
      </c>
      <c r="C126" s="127" t="s">
        <v>31</v>
      </c>
      <c r="D126" s="124"/>
      <c r="E126" s="124" t="str">
        <f t="shared" ref="E126:L126" si="75">IFERROR(E125/D125-1,"")</f>
        <v/>
      </c>
      <c r="F126" s="124" t="str">
        <f t="shared" si="75"/>
        <v/>
      </c>
      <c r="G126" s="124" t="str">
        <f t="shared" si="75"/>
        <v/>
      </c>
      <c r="H126" s="124" t="str">
        <f t="shared" si="75"/>
        <v/>
      </c>
      <c r="I126" s="124" t="str">
        <f t="shared" si="75"/>
        <v/>
      </c>
      <c r="J126" s="124" t="str">
        <f t="shared" si="75"/>
        <v/>
      </c>
      <c r="K126" s="124" t="str">
        <f t="shared" si="75"/>
        <v/>
      </c>
      <c r="L126" s="124">
        <f t="shared" si="75"/>
        <v>-0.10006830601092898</v>
      </c>
      <c r="M126" s="125">
        <f>IFERROR(MAX(MIN(AVERAGE(J126:L126),D37),D36),0)</f>
        <v>0</v>
      </c>
      <c r="N126" s="125">
        <f>MAX(MIN(M126-D38,D37),D36)</f>
        <v>0</v>
      </c>
      <c r="O126" s="125">
        <f>MAX(MIN(N126-D38,D37),D36)</f>
        <v>0</v>
      </c>
      <c r="P126" s="125">
        <f>MAX(MIN(O126-D38,D37),D36)</f>
        <v>0</v>
      </c>
      <c r="Q126" s="147">
        <f>MAX(MIN(P126-D38,D37),D36)</f>
        <v>0</v>
      </c>
      <c r="R126" s="121"/>
      <c r="S126" s="121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</row>
    <row r="127" spans="1:41" ht="15">
      <c r="A127" s="131"/>
      <c r="B127" s="146"/>
      <c r="C127" s="127"/>
      <c r="D127" s="124"/>
      <c r="E127" s="124"/>
      <c r="F127" s="124"/>
      <c r="G127" s="124"/>
      <c r="H127" s="124"/>
      <c r="I127" s="124"/>
      <c r="J127" s="124"/>
      <c r="K127" s="124"/>
      <c r="L127" s="124"/>
      <c r="M127" s="125"/>
      <c r="N127" s="125"/>
      <c r="O127" s="125"/>
      <c r="P127" s="125"/>
      <c r="Q127" s="147"/>
      <c r="R127" s="126"/>
      <c r="S127" s="126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</row>
    <row r="128" spans="1:41" ht="15">
      <c r="A128" s="112"/>
      <c r="B128" s="143" t="s">
        <v>148</v>
      </c>
      <c r="C128" s="118" t="s">
        <v>28</v>
      </c>
      <c r="D128" s="119">
        <f>'Historical Dataset'!F77</f>
        <v>343</v>
      </c>
      <c r="E128" s="119">
        <f>'Historical Dataset'!G77</f>
        <v>410</v>
      </c>
      <c r="F128" s="119">
        <f>'Historical Dataset'!H77</f>
        <v>546</v>
      </c>
      <c r="G128" s="119">
        <f>'Historical Dataset'!I77</f>
        <v>206</v>
      </c>
      <c r="H128" s="119">
        <f>'Historical Dataset'!J77</f>
        <v>249</v>
      </c>
      <c r="I128" s="119">
        <f>'Historical Dataset'!K77</f>
        <v>266</v>
      </c>
      <c r="J128" s="119">
        <f>'Historical Dataset'!L77</f>
        <v>562</v>
      </c>
      <c r="K128" s="119">
        <f>'Historical Dataset'!M77</f>
        <v>936</v>
      </c>
      <c r="L128" s="119">
        <f>'Historical Dataset'!N77</f>
        <v>1162</v>
      </c>
      <c r="M128" s="148">
        <f>M84*M131</f>
        <v>1243.6482008930602</v>
      </c>
      <c r="N128" s="148">
        <f>N84*N131</f>
        <v>1321.4748499430955</v>
      </c>
      <c r="O128" s="148">
        <f>O84*O131</f>
        <v>1394.0481228514698</v>
      </c>
      <c r="P128" s="148">
        <f>P84*P131</f>
        <v>1459.9621619474963</v>
      </c>
      <c r="Q128" s="149">
        <f>Q84*Q131</f>
        <v>1518.3606484253962</v>
      </c>
      <c r="R128" s="121"/>
      <c r="S128" s="12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</row>
    <row r="129" spans="1:41" ht="15">
      <c r="A129" s="131"/>
      <c r="B129" s="146" t="s">
        <v>123</v>
      </c>
      <c r="C129" s="127" t="s">
        <v>31</v>
      </c>
      <c r="D129" s="124"/>
      <c r="E129" s="124">
        <f t="shared" ref="E129:L129" si="76">IFERROR(E128/D128-1,"")</f>
        <v>0.19533527696792996</v>
      </c>
      <c r="F129" s="124">
        <f t="shared" si="76"/>
        <v>0.3317073170731708</v>
      </c>
      <c r="G129" s="124">
        <f t="shared" si="76"/>
        <v>-0.62271062271062272</v>
      </c>
      <c r="H129" s="124">
        <f t="shared" si="76"/>
        <v>0.20873786407766981</v>
      </c>
      <c r="I129" s="124">
        <f t="shared" si="76"/>
        <v>6.8273092369477872E-2</v>
      </c>
      <c r="J129" s="124">
        <f t="shared" si="76"/>
        <v>1.1127819548872182</v>
      </c>
      <c r="K129" s="124">
        <f t="shared" si="76"/>
        <v>0.66548042704626331</v>
      </c>
      <c r="L129" s="124">
        <f t="shared" si="76"/>
        <v>0.24145299145299148</v>
      </c>
      <c r="M129" s="125">
        <f>IFERROR(MAX(MIN(AVERAGE(J129:L129),D34),D36),0)</f>
        <v>0.06</v>
      </c>
      <c r="N129" s="125">
        <f>MAX(MIN(M129-D35,D34),D36)</f>
        <v>5.5E-2</v>
      </c>
      <c r="O129" s="125">
        <f>MAX(MIN(N129-D35,D34),D36)</f>
        <v>0.05</v>
      </c>
      <c r="P129" s="125">
        <f>MAX(MIN(O129-D35,D34),D36)</f>
        <v>4.5000000000000005E-2</v>
      </c>
      <c r="Q129" s="147">
        <f>MAX(MIN(P129-D35,D34),D36)</f>
        <v>4.0000000000000008E-2</v>
      </c>
      <c r="R129" s="126"/>
      <c r="S129" s="126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</row>
    <row r="130" spans="1:41" ht="15">
      <c r="A130" s="131"/>
      <c r="B130" s="146" t="s">
        <v>136</v>
      </c>
      <c r="C130" s="127" t="s">
        <v>31</v>
      </c>
      <c r="D130" s="124">
        <f t="shared" ref="D130:Q130" si="77">IFERROR(D128/D95,"")</f>
        <v>2.8555491728897656E-3</v>
      </c>
      <c r="E130" s="124">
        <f t="shared" si="77"/>
        <v>3.2678957142743279E-3</v>
      </c>
      <c r="F130" s="124">
        <f t="shared" si="77"/>
        <v>4.1023637429185387E-3</v>
      </c>
      <c r="G130" s="124">
        <f t="shared" si="77"/>
        <v>1.5458618179635146E-3</v>
      </c>
      <c r="H130" s="124">
        <f t="shared" si="77"/>
        <v>1.7277268942547876E-3</v>
      </c>
      <c r="I130" s="124">
        <f t="shared" si="77"/>
        <v>1.6904559146891723E-3</v>
      </c>
      <c r="J130" s="124">
        <f t="shared" si="77"/>
        <v>2.9428089687601453E-3</v>
      </c>
      <c r="K130" s="124">
        <f t="shared" si="77"/>
        <v>4.0497916693708544E-3</v>
      </c>
      <c r="L130" s="124">
        <f t="shared" si="77"/>
        <v>5.2990642272121996E-3</v>
      </c>
      <c r="M130" s="125">
        <f t="shared" si="77"/>
        <v>5.251110624906275E-3</v>
      </c>
      <c r="N130" s="125">
        <f t="shared" si="77"/>
        <v>5.2035654368954428E-3</v>
      </c>
      <c r="O130" s="125">
        <f t="shared" si="77"/>
        <v>5.1564265013488821E-3</v>
      </c>
      <c r="P130" s="125">
        <f t="shared" si="77"/>
        <v>5.1096916179538847E-3</v>
      </c>
      <c r="Q130" s="147">
        <f t="shared" si="77"/>
        <v>5.0649500543047243E-3</v>
      </c>
      <c r="R130" s="121"/>
      <c r="S130" s="121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</row>
    <row r="131" spans="1:41" ht="15">
      <c r="A131" s="102"/>
      <c r="B131" s="152" t="s">
        <v>149</v>
      </c>
      <c r="C131" s="56" t="s">
        <v>138</v>
      </c>
      <c r="D131" s="82">
        <f>IFERROR(D128/D84,"")</f>
        <v>15.590909090909092</v>
      </c>
      <c r="E131" s="82">
        <f>IFERROR(E128/E84,"")</f>
        <v>17.826086956521738</v>
      </c>
      <c r="F131" s="82">
        <f>IFERROR(F128/F84,"")</f>
        <v>20.222222222222221</v>
      </c>
      <c r="G131" s="82">
        <f>IFERROR(G128/G84,"")</f>
        <v>11.444444444444445</v>
      </c>
      <c r="H131" s="82">
        <f>IFERROR(H128/H84,"")</f>
        <v>14.647058823529411</v>
      </c>
      <c r="I131" s="82">
        <f>IFERROR(I128/I84,"")</f>
        <v>16.625</v>
      </c>
      <c r="J131" s="82">
        <f>IFERROR(J128/J84,"")</f>
        <v>20.814814814814813</v>
      </c>
      <c r="K131" s="82">
        <f>IFERROR(K128/K84,"")</f>
        <v>21.767441860465116</v>
      </c>
      <c r="L131" s="82">
        <f>IFERROR(L128/L84,"")</f>
        <v>15.917808219178083</v>
      </c>
      <c r="M131" s="155">
        <f>L131*(1+M132)</f>
        <v>16.071959174115534</v>
      </c>
      <c r="N131" s="155">
        <f>M131*(1+N132)</f>
        <v>16.187423057050825</v>
      </c>
      <c r="O131" s="155">
        <f>N131*(1+O132)</f>
        <v>16.26324789591542</v>
      </c>
      <c r="P131" s="155">
        <f>O131*(1+P132)</f>
        <v>16.298769792400364</v>
      </c>
      <c r="Q131" s="156">
        <f>P131*(1+Q132)</f>
        <v>16.298769792400364</v>
      </c>
      <c r="R131" s="126"/>
      <c r="S131" s="126"/>
    </row>
    <row r="132" spans="1:41" ht="15">
      <c r="A132" s="131"/>
      <c r="B132" s="146" t="s">
        <v>139</v>
      </c>
      <c r="C132" s="127" t="s">
        <v>31</v>
      </c>
      <c r="D132" s="124"/>
      <c r="E132" s="124">
        <f t="shared" ref="E132:L132" si="78">IFERROR(E131/D131-1,"")</f>
        <v>0.14336417796932421</v>
      </c>
      <c r="F132" s="124">
        <f t="shared" si="78"/>
        <v>0.13441734417344176</v>
      </c>
      <c r="G132" s="124">
        <f t="shared" si="78"/>
        <v>-0.43406593406593408</v>
      </c>
      <c r="H132" s="124">
        <f t="shared" si="78"/>
        <v>0.27984009137635635</v>
      </c>
      <c r="I132" s="124">
        <f t="shared" si="78"/>
        <v>0.13504016064257041</v>
      </c>
      <c r="J132" s="124">
        <f t="shared" si="78"/>
        <v>0.25201893622946248</v>
      </c>
      <c r="K132" s="124">
        <f t="shared" si="78"/>
        <v>4.5766779773235289E-2</v>
      </c>
      <c r="L132" s="124">
        <f t="shared" si="78"/>
        <v>-0.26873316941810088</v>
      </c>
      <c r="M132" s="125">
        <f>IFERROR(MAX(MIN(AVERAGE(J132:L132),D37),D36),0)</f>
        <v>9.6841821948656284E-3</v>
      </c>
      <c r="N132" s="125">
        <f>MAX(MIN(M132-D38,D37),D36)</f>
        <v>7.1841821948656279E-3</v>
      </c>
      <c r="O132" s="125">
        <f>MAX(MIN(N132-D38,D37),D36)</f>
        <v>4.6841821948656274E-3</v>
      </c>
      <c r="P132" s="125">
        <f>MAX(MIN(O132-D38,D37),D36)</f>
        <v>2.1841821948656273E-3</v>
      </c>
      <c r="Q132" s="147">
        <f>MAX(MIN(P132-D38,D37),D36)</f>
        <v>0</v>
      </c>
      <c r="R132" s="121"/>
      <c r="S132" s="121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</row>
    <row r="133" spans="1:41" ht="15">
      <c r="A133" s="131"/>
      <c r="B133" s="146"/>
      <c r="C133" s="127"/>
      <c r="D133" s="124"/>
      <c r="E133" s="124"/>
      <c r="F133" s="124"/>
      <c r="G133" s="124"/>
      <c r="H133" s="124"/>
      <c r="I133" s="124"/>
      <c r="J133" s="124"/>
      <c r="K133" s="124"/>
      <c r="L133" s="124"/>
      <c r="M133" s="125"/>
      <c r="N133" s="125"/>
      <c r="O133" s="125"/>
      <c r="P133" s="125"/>
      <c r="Q133" s="147"/>
      <c r="R133" s="126"/>
      <c r="S133" s="126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</row>
    <row r="134" spans="1:41" ht="15">
      <c r="A134" s="112"/>
      <c r="B134" s="143" t="s">
        <v>150</v>
      </c>
      <c r="C134" s="118" t="s">
        <v>28</v>
      </c>
      <c r="D134" s="119">
        <f>'Historical Dataset'!F78</f>
        <v>10376</v>
      </c>
      <c r="E134" s="119">
        <f>'Historical Dataset'!G78</f>
        <v>11846</v>
      </c>
      <c r="F134" s="119">
        <f>'Historical Dataset'!H78</f>
        <v>10772</v>
      </c>
      <c r="G134" s="119">
        <f>'Historical Dataset'!I78</f>
        <v>10071</v>
      </c>
      <c r="H134" s="119">
        <f>'Historical Dataset'!J78</f>
        <v>10369</v>
      </c>
      <c r="I134" s="119">
        <f>'Historical Dataset'!K78</f>
        <v>10551</v>
      </c>
      <c r="J134" s="119">
        <f>'Historical Dataset'!L78</f>
        <v>12473</v>
      </c>
      <c r="K134" s="119">
        <f>'Historical Dataset'!M78</f>
        <v>12429</v>
      </c>
      <c r="L134" s="119">
        <f>'Historical Dataset'!N78</f>
        <v>12013</v>
      </c>
      <c r="M134" s="148">
        <f>M88*M137</f>
        <v>12682.421401909769</v>
      </c>
      <c r="N134" s="148">
        <f>N88*N137</f>
        <v>13325.734035970467</v>
      </c>
      <c r="O134" s="148">
        <f>O88*O137</f>
        <v>13935.049871323414</v>
      </c>
      <c r="P134" s="148">
        <f>P88*P137</f>
        <v>14502.551270555972</v>
      </c>
      <c r="Q134" s="149">
        <f>Q88*Q137</f>
        <v>15020.651265106884</v>
      </c>
      <c r="R134" s="121"/>
      <c r="S134" s="12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</row>
    <row r="135" spans="1:41" ht="15">
      <c r="A135" s="131"/>
      <c r="B135" s="146" t="s">
        <v>123</v>
      </c>
      <c r="C135" s="127" t="s">
        <v>31</v>
      </c>
      <c r="D135" s="124"/>
      <c r="E135" s="124">
        <f t="shared" ref="E135:L135" si="79">IFERROR(E134/D134-1,"")</f>
        <v>0.14167309175019271</v>
      </c>
      <c r="F135" s="124">
        <f t="shared" si="79"/>
        <v>-9.0663515110585902E-2</v>
      </c>
      <c r="G135" s="124">
        <f t="shared" si="79"/>
        <v>-6.5076123282584497E-2</v>
      </c>
      <c r="H135" s="124">
        <f t="shared" si="79"/>
        <v>2.9589911627445176E-2</v>
      </c>
      <c r="I135" s="124">
        <f t="shared" si="79"/>
        <v>1.7552319413636885E-2</v>
      </c>
      <c r="J135" s="124">
        <f t="shared" si="79"/>
        <v>0.18216282816794616</v>
      </c>
      <c r="K135" s="124">
        <f t="shared" si="79"/>
        <v>-3.5276196584622665E-3</v>
      </c>
      <c r="L135" s="124">
        <f t="shared" si="79"/>
        <v>-3.3470110226084149E-2</v>
      </c>
      <c r="M135" s="125">
        <f>IFERROR(MAX(MIN(AVERAGE(J135:L135),D34),D36),0)</f>
        <v>4.8388366094466582E-2</v>
      </c>
      <c r="N135" s="125">
        <f>MAX(MIN(M135-D35,D34),D36)</f>
        <v>4.3388366094466585E-2</v>
      </c>
      <c r="O135" s="125">
        <f>MAX(MIN(N135-D35,D34),D36)</f>
        <v>3.8388366094466587E-2</v>
      </c>
      <c r="P135" s="125">
        <f>MAX(MIN(O135-D35,D34),D36)</f>
        <v>3.338836609446659E-2</v>
      </c>
      <c r="Q135" s="147">
        <f>MAX(MIN(P135-D35,D34),D36)</f>
        <v>2.8388366094466589E-2</v>
      </c>
      <c r="R135" s="126"/>
      <c r="S135" s="126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</row>
    <row r="136" spans="1:41" ht="15">
      <c r="A136" s="131"/>
      <c r="B136" s="146" t="s">
        <v>136</v>
      </c>
      <c r="C136" s="127" t="s">
        <v>31</v>
      </c>
      <c r="D136" s="124">
        <f t="shared" ref="D136:Q136" si="80">IFERROR(D134/D95,"")</f>
        <v>8.6382443783977289E-2</v>
      </c>
      <c r="E136" s="124">
        <f t="shared" si="80"/>
        <v>9.4418274710472413E-2</v>
      </c>
      <c r="F136" s="124">
        <f t="shared" si="80"/>
        <v>8.0935278825491758E-2</v>
      </c>
      <c r="G136" s="124">
        <f t="shared" si="80"/>
        <v>7.5574632857818236E-2</v>
      </c>
      <c r="H136" s="124">
        <f t="shared" si="80"/>
        <v>7.1946988620593955E-2</v>
      </c>
      <c r="I136" s="124">
        <f t="shared" si="80"/>
        <v>6.7052632916862615E-2</v>
      </c>
      <c r="J136" s="124">
        <f t="shared" si="80"/>
        <v>6.5312555635845718E-2</v>
      </c>
      <c r="K136" s="124">
        <f t="shared" si="80"/>
        <v>5.3776560532703369E-2</v>
      </c>
      <c r="L136" s="124">
        <f t="shared" si="80"/>
        <v>5.478283869320151E-2</v>
      </c>
      <c r="M136" s="125">
        <f t="shared" si="80"/>
        <v>5.3549546990285635E-2</v>
      </c>
      <c r="N136" s="125">
        <f t="shared" si="80"/>
        <v>5.247268160557355E-2</v>
      </c>
      <c r="O136" s="125">
        <f t="shared" si="80"/>
        <v>5.1544175036894506E-2</v>
      </c>
      <c r="P136" s="125">
        <f t="shared" si="80"/>
        <v>5.0757181656856699E-2</v>
      </c>
      <c r="Q136" s="147">
        <f t="shared" si="80"/>
        <v>5.0105914243623477E-2</v>
      </c>
      <c r="R136" s="121"/>
      <c r="S136" s="121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</row>
    <row r="137" spans="1:41" ht="25.5">
      <c r="A137" s="102"/>
      <c r="B137" s="152" t="s">
        <v>151</v>
      </c>
      <c r="C137" s="56" t="s">
        <v>138</v>
      </c>
      <c r="D137" s="82">
        <f>IFERROR(D134/D88,"")</f>
        <v>18.899817850637522</v>
      </c>
      <c r="E137" s="82">
        <f>IFERROR(E134/E88,"")</f>
        <v>21.382671480144403</v>
      </c>
      <c r="F137" s="82">
        <f>IFERROR(F134/F88,"")</f>
        <v>18.104201680672269</v>
      </c>
      <c r="G137" s="82">
        <f>IFERROR(G134/G88,"")</f>
        <v>16.701492537313431</v>
      </c>
      <c r="H137" s="82">
        <f>IFERROR(H134/H88,"")</f>
        <v>16.406645569620252</v>
      </c>
      <c r="I137" s="82">
        <f>IFERROR(I134/I88,"")</f>
        <v>16.232307692307693</v>
      </c>
      <c r="J137" s="82">
        <f>IFERROR(J134/J88,"")</f>
        <v>18.700149925037483</v>
      </c>
      <c r="K137" s="82">
        <f>IFERROR(K134/K88,"")</f>
        <v>18.831818181818182</v>
      </c>
      <c r="L137" s="82">
        <f>IFERROR(L134/L88,"")</f>
        <v>15.80657894736842</v>
      </c>
      <c r="M137" s="155">
        <f>L137*(1+M138)</f>
        <v>15.80657894736842</v>
      </c>
      <c r="N137" s="155">
        <f>M137*(1+N138)</f>
        <v>15.80657894736842</v>
      </c>
      <c r="O137" s="155">
        <f>N137*(1+O138)</f>
        <v>15.80657894736842</v>
      </c>
      <c r="P137" s="155">
        <f>O137*(1+P138)</f>
        <v>15.80657894736842</v>
      </c>
      <c r="Q137" s="156">
        <f>P137*(1+Q138)</f>
        <v>15.80657894736842</v>
      </c>
      <c r="R137" s="126"/>
      <c r="S137" s="126"/>
    </row>
    <row r="138" spans="1:41" ht="15">
      <c r="A138" s="131"/>
      <c r="B138" s="146" t="s">
        <v>139</v>
      </c>
      <c r="C138" s="127" t="s">
        <v>31</v>
      </c>
      <c r="D138" s="124"/>
      <c r="E138" s="124">
        <f t="shared" ref="E138:L138" si="81">IFERROR(E137/D137-1,"")</f>
        <v>0.1313691829798842</v>
      </c>
      <c r="F138" s="124">
        <f t="shared" si="81"/>
        <v>-0.15332367625422616</v>
      </c>
      <c r="G138" s="124">
        <f t="shared" si="81"/>
        <v>-7.7479756804540334E-2</v>
      </c>
      <c r="H138" s="124">
        <f t="shared" si="81"/>
        <v>-1.7653929254193845E-2</v>
      </c>
      <c r="I138" s="124">
        <f t="shared" si="81"/>
        <v>-1.0626052508586947E-2</v>
      </c>
      <c r="J138" s="124">
        <f t="shared" si="81"/>
        <v>0.15203274109320097</v>
      </c>
      <c r="K138" s="124">
        <f t="shared" si="81"/>
        <v>7.0410267997054188E-3</v>
      </c>
      <c r="L138" s="124">
        <f t="shared" si="81"/>
        <v>-0.16064509572265206</v>
      </c>
      <c r="M138" s="125">
        <f>IFERROR(MAX(MIN(AVERAGE(J138:L138),D37),D36),0)</f>
        <v>0</v>
      </c>
      <c r="N138" s="125">
        <f>MAX(MIN(M138-D38,D37),D36)</f>
        <v>0</v>
      </c>
      <c r="O138" s="125">
        <f>MAX(MIN(N138-D38,D37),D36)</f>
        <v>0</v>
      </c>
      <c r="P138" s="125">
        <f>MAX(MIN(O138-D38,D37),D36)</f>
        <v>0</v>
      </c>
      <c r="Q138" s="147">
        <f>MAX(MIN(P138-D38,D37),D36)</f>
        <v>0</v>
      </c>
      <c r="R138" s="121"/>
      <c r="S138" s="121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</row>
    <row r="139" spans="1:41" ht="15">
      <c r="A139" s="131"/>
      <c r="B139" s="146" t="s">
        <v>152</v>
      </c>
      <c r="C139" s="127"/>
      <c r="D139" s="124"/>
      <c r="E139" s="124"/>
      <c r="F139" s="124"/>
      <c r="G139" s="124"/>
      <c r="H139" s="124"/>
      <c r="I139" s="124"/>
      <c r="J139" s="124"/>
      <c r="K139" s="124"/>
      <c r="L139" s="124"/>
      <c r="M139" s="125">
        <f>SUM(M100,M106,M112,M118,M124,M130)</f>
        <v>1</v>
      </c>
      <c r="N139" s="125">
        <f t="shared" ref="N139:Q139" si="82">SUM(N100,N106,N112,N118,N124,N130)</f>
        <v>1</v>
      </c>
      <c r="O139" s="125">
        <f t="shared" si="82"/>
        <v>0.99999999999999989</v>
      </c>
      <c r="P139" s="125">
        <f t="shared" si="82"/>
        <v>1</v>
      </c>
      <c r="Q139" s="147">
        <f t="shared" si="82"/>
        <v>1</v>
      </c>
      <c r="R139" s="126"/>
      <c r="S139" s="126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</row>
    <row r="140" spans="1:41" ht="15">
      <c r="A140" s="102"/>
      <c r="B140" s="157"/>
      <c r="C140" s="56"/>
      <c r="D140" s="57"/>
      <c r="E140" s="57"/>
      <c r="F140" s="57"/>
      <c r="G140" s="57"/>
      <c r="H140" s="57"/>
      <c r="I140" s="57"/>
      <c r="J140" s="57"/>
      <c r="K140" s="57"/>
      <c r="L140" s="57"/>
      <c r="M140" s="58"/>
      <c r="N140" s="58"/>
      <c r="O140" s="58"/>
      <c r="P140" s="58"/>
      <c r="Q140" s="158"/>
      <c r="R140" s="121"/>
      <c r="S140" s="121"/>
    </row>
    <row r="141" spans="1:41" ht="15">
      <c r="A141" s="102"/>
      <c r="B141" s="200" t="s">
        <v>153</v>
      </c>
      <c r="C141" s="201"/>
      <c r="D141" s="190">
        <v>43100</v>
      </c>
      <c r="E141" s="190">
        <f t="shared" ref="E141:E142" si="83">EOMONTH(D141,12)</f>
        <v>43465</v>
      </c>
      <c r="F141" s="190">
        <f t="shared" ref="F141:F142" si="84">EOMONTH(E141,12)</f>
        <v>43830</v>
      </c>
      <c r="G141" s="190">
        <f t="shared" ref="G141:G142" si="85">EOMONTH(F141,12)</f>
        <v>44196</v>
      </c>
      <c r="H141" s="190">
        <f t="shared" ref="H141:H142" si="86">EOMONTH(G141,12)</f>
        <v>44561</v>
      </c>
      <c r="I141" s="190">
        <f t="shared" ref="I141:I142" si="87">EOMONTH(H141,12)</f>
        <v>44926</v>
      </c>
      <c r="J141" s="190">
        <f t="shared" ref="J141:J142" si="88">EOMONTH(I141,12)</f>
        <v>45291</v>
      </c>
      <c r="K141" s="190">
        <f t="shared" ref="K141:K142" si="89">EOMONTH(J141,12)</f>
        <v>45657</v>
      </c>
      <c r="L141" s="194">
        <f t="shared" ref="L141:L142" si="90">EOMONTH(K141,12)</f>
        <v>46022</v>
      </c>
      <c r="M141" s="191">
        <f t="shared" ref="M141:M142" si="91">EOMONTH(L141,12)</f>
        <v>46387</v>
      </c>
      <c r="N141" s="191">
        <f t="shared" ref="N141:N142" si="92">EOMONTH(M141,12)</f>
        <v>46752</v>
      </c>
      <c r="O141" s="191">
        <f t="shared" ref="O141:O142" si="93">EOMONTH(N141,12)</f>
        <v>47118</v>
      </c>
      <c r="P141" s="191">
        <f t="shared" ref="P141:P142" si="94">EOMONTH(O141,12)</f>
        <v>47483</v>
      </c>
      <c r="Q141" s="192">
        <f t="shared" ref="Q141:Q142" si="95">EOMONTH(P141,12)</f>
        <v>47848</v>
      </c>
      <c r="R141" s="126"/>
      <c r="S141" s="126"/>
    </row>
    <row r="142" spans="1:41" ht="15">
      <c r="A142" s="102"/>
      <c r="B142" s="183" t="s">
        <v>106</v>
      </c>
      <c r="C142" s="184" t="s">
        <v>19</v>
      </c>
      <c r="D142" s="19">
        <v>43100</v>
      </c>
      <c r="E142" s="19">
        <f t="shared" si="83"/>
        <v>43465</v>
      </c>
      <c r="F142" s="19">
        <f t="shared" si="84"/>
        <v>43830</v>
      </c>
      <c r="G142" s="19">
        <f t="shared" si="85"/>
        <v>44196</v>
      </c>
      <c r="H142" s="19">
        <f t="shared" si="86"/>
        <v>44561</v>
      </c>
      <c r="I142" s="19">
        <f t="shared" si="87"/>
        <v>44926</v>
      </c>
      <c r="J142" s="19">
        <f t="shared" si="88"/>
        <v>45291</v>
      </c>
      <c r="K142" s="106">
        <f t="shared" si="89"/>
        <v>45657</v>
      </c>
      <c r="L142" s="137">
        <f t="shared" si="90"/>
        <v>46022</v>
      </c>
      <c r="M142" s="186">
        <f t="shared" si="91"/>
        <v>46387</v>
      </c>
      <c r="N142" s="186">
        <f t="shared" si="92"/>
        <v>46752</v>
      </c>
      <c r="O142" s="186">
        <f t="shared" si="93"/>
        <v>47118</v>
      </c>
      <c r="P142" s="186">
        <f t="shared" si="94"/>
        <v>47483</v>
      </c>
      <c r="Q142" s="187">
        <f t="shared" si="95"/>
        <v>47848</v>
      </c>
      <c r="R142" s="121"/>
      <c r="S142" s="121"/>
    </row>
    <row r="143" spans="1:41" ht="15">
      <c r="A143" s="102"/>
      <c r="B143" s="157" t="s">
        <v>154</v>
      </c>
      <c r="C143" s="56" t="s">
        <v>138</v>
      </c>
      <c r="D143" s="82"/>
      <c r="E143" s="82"/>
      <c r="F143" s="82"/>
      <c r="G143" s="82"/>
      <c r="H143" s="82"/>
      <c r="I143" s="82"/>
      <c r="J143" s="82"/>
      <c r="K143" s="82">
        <v>20.58</v>
      </c>
      <c r="L143" s="82">
        <v>27.65</v>
      </c>
      <c r="M143" s="83"/>
      <c r="N143" s="83"/>
      <c r="O143" s="83"/>
      <c r="P143" s="83"/>
      <c r="Q143" s="160"/>
      <c r="R143" s="59"/>
      <c r="S143" s="59"/>
    </row>
    <row r="144" spans="1:41" ht="15">
      <c r="A144" s="102"/>
      <c r="B144" s="157" t="s">
        <v>155</v>
      </c>
      <c r="C144" s="56" t="s">
        <v>138</v>
      </c>
      <c r="D144" s="82"/>
      <c r="E144" s="82"/>
      <c r="F144" s="82"/>
      <c r="G144" s="82"/>
      <c r="H144" s="82"/>
      <c r="I144" s="82"/>
      <c r="J144" s="82"/>
      <c r="K144" s="82">
        <v>20</v>
      </c>
      <c r="L144" s="82">
        <v>28.17</v>
      </c>
      <c r="M144" s="83"/>
      <c r="N144" s="83"/>
      <c r="O144" s="83"/>
      <c r="P144" s="83"/>
      <c r="Q144" s="160"/>
      <c r="R144" s="59"/>
      <c r="S144" s="59"/>
    </row>
    <row r="145" spans="1:41" ht="15">
      <c r="A145" s="102"/>
      <c r="B145" s="157" t="s">
        <v>156</v>
      </c>
      <c r="C145" s="56" t="s">
        <v>138</v>
      </c>
      <c r="D145" s="82"/>
      <c r="E145" s="82"/>
      <c r="F145" s="82"/>
      <c r="G145" s="82"/>
      <c r="H145" s="82"/>
      <c r="I145" s="82"/>
      <c r="J145" s="82"/>
      <c r="K145" s="82">
        <v>13.08</v>
      </c>
      <c r="L145" s="82">
        <v>20.78</v>
      </c>
      <c r="M145" s="83"/>
      <c r="N145" s="83"/>
      <c r="O145" s="83"/>
      <c r="P145" s="83"/>
      <c r="Q145" s="160"/>
      <c r="R145" s="59"/>
      <c r="S145" s="59"/>
    </row>
    <row r="146" spans="1:41" ht="15">
      <c r="A146" s="102"/>
      <c r="B146" s="157" t="s">
        <v>157</v>
      </c>
      <c r="C146" s="56" t="s">
        <v>138</v>
      </c>
      <c r="D146" s="82"/>
      <c r="E146" s="82"/>
      <c r="F146" s="82"/>
      <c r="G146" s="82"/>
      <c r="H146" s="82"/>
      <c r="I146" s="82"/>
      <c r="J146" s="82"/>
      <c r="K146" s="82">
        <v>14.72</v>
      </c>
      <c r="L146" s="82">
        <v>20.057142857142857</v>
      </c>
      <c r="M146" s="83"/>
      <c r="N146" s="83"/>
      <c r="O146" s="83"/>
      <c r="P146" s="83"/>
      <c r="Q146" s="160"/>
      <c r="R146" s="59"/>
      <c r="S146" s="59"/>
    </row>
    <row r="147" spans="1:41" ht="15">
      <c r="A147" s="102"/>
      <c r="B147" s="157" t="s">
        <v>158</v>
      </c>
      <c r="C147" s="56" t="s">
        <v>138</v>
      </c>
      <c r="D147" s="82"/>
      <c r="E147" s="82"/>
      <c r="F147" s="82"/>
      <c r="G147" s="82"/>
      <c r="H147" s="82"/>
      <c r="I147" s="82"/>
      <c r="J147" s="82"/>
      <c r="K147" s="82">
        <v>16</v>
      </c>
      <c r="L147" s="82">
        <v>24.54</v>
      </c>
      <c r="M147" s="83"/>
      <c r="N147" s="83"/>
      <c r="O147" s="83"/>
      <c r="P147" s="83"/>
      <c r="Q147" s="160"/>
      <c r="R147" s="59"/>
      <c r="S147" s="59"/>
    </row>
    <row r="148" spans="1:41" ht="15">
      <c r="A148" s="102"/>
      <c r="B148" s="157" t="s">
        <v>159</v>
      </c>
      <c r="C148" s="56" t="s">
        <v>138</v>
      </c>
      <c r="D148" s="82"/>
      <c r="E148" s="82"/>
      <c r="F148" s="82"/>
      <c r="G148" s="82"/>
      <c r="H148" s="82"/>
      <c r="I148" s="82"/>
      <c r="J148" s="82"/>
      <c r="K148" s="82">
        <v>9.24</v>
      </c>
      <c r="L148" s="82">
        <v>16.25</v>
      </c>
      <c r="M148" s="83"/>
      <c r="N148" s="83"/>
      <c r="O148" s="83"/>
      <c r="P148" s="83"/>
      <c r="Q148" s="160"/>
      <c r="R148" s="59"/>
      <c r="S148" s="59"/>
    </row>
    <row r="149" spans="1:41" ht="15">
      <c r="A149" s="102"/>
      <c r="B149" s="157"/>
      <c r="C149" s="56"/>
      <c r="D149" s="57"/>
      <c r="E149" s="57"/>
      <c r="F149" s="57"/>
      <c r="G149" s="57"/>
      <c r="H149" s="57"/>
      <c r="I149" s="57"/>
      <c r="J149" s="57"/>
      <c r="K149" s="57"/>
      <c r="L149" s="57"/>
      <c r="M149" s="58"/>
      <c r="N149" s="58"/>
      <c r="O149" s="58"/>
      <c r="P149" s="58"/>
      <c r="Q149" s="158"/>
      <c r="R149" s="59"/>
      <c r="S149" s="59"/>
    </row>
    <row r="150" spans="1:41" ht="15">
      <c r="A150" s="102"/>
      <c r="B150" s="195" t="s">
        <v>160</v>
      </c>
      <c r="C150" s="196"/>
      <c r="D150" s="134">
        <v>43100</v>
      </c>
      <c r="E150" s="134">
        <f t="shared" ref="E150:E151" si="96">EOMONTH(D150,12)</f>
        <v>43465</v>
      </c>
      <c r="F150" s="134">
        <f t="shared" ref="F150:F151" si="97">EOMONTH(E150,12)</f>
        <v>43830</v>
      </c>
      <c r="G150" s="134">
        <f t="shared" ref="G150:G151" si="98">EOMONTH(F150,12)</f>
        <v>44196</v>
      </c>
      <c r="H150" s="134">
        <f t="shared" ref="H150:H151" si="99">EOMONTH(G150,12)</f>
        <v>44561</v>
      </c>
      <c r="I150" s="134">
        <f t="shared" ref="I150:I151" si="100">EOMONTH(H150,12)</f>
        <v>44926</v>
      </c>
      <c r="J150" s="134">
        <f t="shared" ref="J150:J151" si="101">EOMONTH(I150,12)</f>
        <v>45291</v>
      </c>
      <c r="K150" s="134">
        <f t="shared" ref="K150:K151" si="102">EOMONTH(J150,12)</f>
        <v>45657</v>
      </c>
      <c r="L150" s="135">
        <f t="shared" ref="L150:L151" si="103">EOMONTH(K150,12)</f>
        <v>46022</v>
      </c>
      <c r="M150" s="140">
        <f t="shared" ref="M150:M151" si="104">EOMONTH(L150,12)</f>
        <v>46387</v>
      </c>
      <c r="N150" s="140">
        <f t="shared" ref="N150:N151" si="105">EOMONTH(M150,12)</f>
        <v>46752</v>
      </c>
      <c r="O150" s="140">
        <f t="shared" ref="O150:O151" si="106">EOMONTH(N150,12)</f>
        <v>47118</v>
      </c>
      <c r="P150" s="140">
        <f t="shared" ref="P150:P151" si="107">EOMONTH(O150,12)</f>
        <v>47483</v>
      </c>
      <c r="Q150" s="141">
        <f t="shared" ref="Q150:Q151" si="108">EOMONTH(P150,12)</f>
        <v>47848</v>
      </c>
      <c r="R150" s="59"/>
      <c r="S150" s="70"/>
    </row>
    <row r="151" spans="1:41" ht="15">
      <c r="A151" s="102"/>
      <c r="B151" s="183" t="s">
        <v>106</v>
      </c>
      <c r="C151" s="184" t="s">
        <v>19</v>
      </c>
      <c r="D151" s="19">
        <v>43100</v>
      </c>
      <c r="E151" s="19">
        <f t="shared" si="96"/>
        <v>43465</v>
      </c>
      <c r="F151" s="19">
        <f t="shared" si="97"/>
        <v>43830</v>
      </c>
      <c r="G151" s="19">
        <f t="shared" si="98"/>
        <v>44196</v>
      </c>
      <c r="H151" s="19">
        <f t="shared" si="99"/>
        <v>44561</v>
      </c>
      <c r="I151" s="19">
        <f t="shared" si="100"/>
        <v>44926</v>
      </c>
      <c r="J151" s="19">
        <f t="shared" si="101"/>
        <v>45291</v>
      </c>
      <c r="K151" s="106">
        <f t="shared" si="102"/>
        <v>45657</v>
      </c>
      <c r="L151" s="137">
        <f t="shared" si="103"/>
        <v>46022</v>
      </c>
      <c r="M151" s="186">
        <f t="shared" si="104"/>
        <v>46387</v>
      </c>
      <c r="N151" s="186">
        <f t="shared" si="105"/>
        <v>46752</v>
      </c>
      <c r="O151" s="186">
        <f t="shared" si="106"/>
        <v>47118</v>
      </c>
      <c r="P151" s="186">
        <f t="shared" si="107"/>
        <v>47483</v>
      </c>
      <c r="Q151" s="187">
        <f t="shared" si="108"/>
        <v>47848</v>
      </c>
      <c r="R151" s="59"/>
      <c r="S151" s="80" t="s">
        <v>21</v>
      </c>
    </row>
    <row r="152" spans="1:41" s="111" customFormat="1" ht="15">
      <c r="A152" s="112"/>
      <c r="B152" s="143" t="s">
        <v>161</v>
      </c>
      <c r="C152" s="118" t="s">
        <v>122</v>
      </c>
      <c r="D152" s="119">
        <f t="shared" ref="D152:K152" si="109">D61/D154</f>
        <v>10153.424081237912</v>
      </c>
      <c r="E152" s="119">
        <f t="shared" si="109"/>
        <v>10658.984513535879</v>
      </c>
      <c r="F152" s="119">
        <f t="shared" si="109"/>
        <v>11491.689360246322</v>
      </c>
      <c r="G152" s="119">
        <f t="shared" si="109"/>
        <v>11464.613017211899</v>
      </c>
      <c r="H152" s="119">
        <f t="shared" si="109"/>
        <v>12101</v>
      </c>
      <c r="I152" s="119">
        <f t="shared" si="109"/>
        <v>12654.289412004484</v>
      </c>
      <c r="J152" s="119">
        <f t="shared" si="109"/>
        <v>13288.701260627382</v>
      </c>
      <c r="K152" s="119">
        <f t="shared" si="109"/>
        <v>13684.31230125523</v>
      </c>
      <c r="L152" s="119">
        <f>L61/L154</f>
        <v>14471.84770323599</v>
      </c>
      <c r="M152" s="188">
        <f>M61/M154</f>
        <v>15041.424200035501</v>
      </c>
      <c r="N152" s="188">
        <f>N61/N154</f>
        <v>15560.446319884179</v>
      </c>
      <c r="O152" s="188">
        <f>O61/O154</f>
        <v>16021.849520548398</v>
      </c>
      <c r="P152" s="188">
        <f>P61/P154</f>
        <v>16419.127497116831</v>
      </c>
      <c r="Q152" s="189">
        <f>Q61/Q154</f>
        <v>16857.484545173571</v>
      </c>
      <c r="R152" s="59"/>
      <c r="S152" s="126" t="s">
        <v>162</v>
      </c>
    </row>
    <row r="153" spans="1:41" ht="15">
      <c r="A153" s="132"/>
      <c r="B153" s="146" t="s">
        <v>123</v>
      </c>
      <c r="C153" s="122" t="s">
        <v>31</v>
      </c>
      <c r="D153" s="124"/>
      <c r="E153" s="124">
        <f t="shared" ref="E153:Q153" si="110">IFERROR(E152/D152-1,"")</f>
        <v>4.9792112321218829E-2</v>
      </c>
      <c r="F153" s="124">
        <f t="shared" si="110"/>
        <v>7.8122343235698333E-2</v>
      </c>
      <c r="G153" s="124">
        <f t="shared" si="110"/>
        <v>-2.3561673297652908E-3</v>
      </c>
      <c r="H153" s="124">
        <f t="shared" si="110"/>
        <v>5.5508806257366761E-2</v>
      </c>
      <c r="I153" s="124">
        <f t="shared" si="110"/>
        <v>4.5722618957481531E-2</v>
      </c>
      <c r="J153" s="124">
        <f t="shared" si="110"/>
        <v>5.0134134597954016E-2</v>
      </c>
      <c r="K153" s="124">
        <f t="shared" si="110"/>
        <v>2.9770481920606384E-2</v>
      </c>
      <c r="L153" s="124">
        <f t="shared" si="110"/>
        <v>5.7550235966810082E-2</v>
      </c>
      <c r="M153" s="124">
        <f t="shared" si="110"/>
        <v>3.9357551881378017E-2</v>
      </c>
      <c r="N153" s="124">
        <f t="shared" si="110"/>
        <v>3.4506181924411905E-2</v>
      </c>
      <c r="O153" s="124">
        <f t="shared" si="110"/>
        <v>2.965231145552738E-2</v>
      </c>
      <c r="P153" s="124">
        <f t="shared" si="110"/>
        <v>2.4796012224363784E-2</v>
      </c>
      <c r="Q153" s="154">
        <f t="shared" si="110"/>
        <v>2.6697950188505182E-2</v>
      </c>
      <c r="R153" s="59"/>
      <c r="S153" s="121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</row>
    <row r="154" spans="1:41" ht="15">
      <c r="A154" s="102"/>
      <c r="B154" s="152" t="s">
        <v>163</v>
      </c>
      <c r="C154" s="56" t="s">
        <v>31</v>
      </c>
      <c r="D154" s="87">
        <f>'Historical Dataset'!F20</f>
        <v>0.81066248529988238</v>
      </c>
      <c r="E154" s="87">
        <f>'Historical Dataset'!G20</f>
        <v>0.79041300691459537</v>
      </c>
      <c r="F154" s="87">
        <f>'Historical Dataset'!H20</f>
        <v>0.76298616549203868</v>
      </c>
      <c r="G154" s="87">
        <f>'Historical Dataset'!I20</f>
        <v>0.76539870877682781</v>
      </c>
      <c r="H154" s="87">
        <f>'Historical Dataset'!J20</f>
        <v>0.76051565986282121</v>
      </c>
      <c r="I154" s="87">
        <f>'Historical Dataset'!K20</f>
        <v>0.77554730103532754</v>
      </c>
      <c r="J154" s="87">
        <f>'Historical Dataset'!L20</f>
        <v>0.76997742663656887</v>
      </c>
      <c r="K154" s="87">
        <f>'Historical Dataset'!M20</f>
        <v>0.76848874598070738</v>
      </c>
      <c r="L154" s="87">
        <f>'Historical Dataset'!N20</f>
        <v>0.78793532338308458</v>
      </c>
      <c r="M154" s="150">
        <f>MIN(L154+D40,D39)</f>
        <v>0.79543532338308454</v>
      </c>
      <c r="N154" s="150">
        <f>MIN(M154+D40,D39)</f>
        <v>0.80293532338308449</v>
      </c>
      <c r="O154" s="150">
        <f>MIN(N154+D40,D39)</f>
        <v>0.81043532338308444</v>
      </c>
      <c r="P154" s="150">
        <f>MIN(O154+D40,D39)</f>
        <v>0.81793532338308439</v>
      </c>
      <c r="Q154" s="151">
        <f>MIN(P154+D40,D39)</f>
        <v>0.82</v>
      </c>
      <c r="R154" s="59"/>
      <c r="S154" s="59" t="s">
        <v>164</v>
      </c>
    </row>
    <row r="155" spans="1:41" ht="15">
      <c r="A155" s="102"/>
      <c r="B155" s="152" t="s">
        <v>165</v>
      </c>
      <c r="C155" s="56" t="s">
        <v>31</v>
      </c>
      <c r="D155" s="87">
        <f t="shared" ref="D155:L155" si="111">1-D154</f>
        <v>0.18933751470011762</v>
      </c>
      <c r="E155" s="87">
        <f t="shared" si="111"/>
        <v>0.20958699308540463</v>
      </c>
      <c r="F155" s="87">
        <f t="shared" si="111"/>
        <v>0.23701383450796132</v>
      </c>
      <c r="G155" s="87">
        <f t="shared" si="111"/>
        <v>0.23460129122317219</v>
      </c>
      <c r="H155" s="87">
        <f t="shared" si="111"/>
        <v>0.23948434013717879</v>
      </c>
      <c r="I155" s="87">
        <f t="shared" si="111"/>
        <v>0.22445269896467246</v>
      </c>
      <c r="J155" s="87">
        <f t="shared" si="111"/>
        <v>0.23002257336343113</v>
      </c>
      <c r="K155" s="87">
        <f t="shared" si="111"/>
        <v>0.23151125401929262</v>
      </c>
      <c r="L155" s="87">
        <f t="shared" si="111"/>
        <v>0.21206467661691542</v>
      </c>
      <c r="M155" s="88">
        <f>1-M154</f>
        <v>0.20456467661691546</v>
      </c>
      <c r="N155" s="88">
        <f>1-N154</f>
        <v>0.19706467661691551</v>
      </c>
      <c r="O155" s="88">
        <f>1-O154</f>
        <v>0.18956467661691556</v>
      </c>
      <c r="P155" s="88">
        <f>1-P154</f>
        <v>0.18206467661691561</v>
      </c>
      <c r="Q155" s="153">
        <f>1-Q154</f>
        <v>0.18000000000000005</v>
      </c>
      <c r="R155" s="59"/>
      <c r="S155" s="59" t="s">
        <v>166</v>
      </c>
    </row>
    <row r="156" spans="1:41" ht="15">
      <c r="A156" s="102"/>
      <c r="B156" s="152"/>
      <c r="C156" s="56"/>
      <c r="D156" s="87"/>
      <c r="E156" s="87"/>
      <c r="F156" s="87"/>
      <c r="G156" s="87"/>
      <c r="H156" s="87"/>
      <c r="I156" s="87"/>
      <c r="J156" s="87"/>
      <c r="K156" s="87"/>
      <c r="L156" s="87"/>
      <c r="M156" s="88"/>
      <c r="N156" s="88"/>
      <c r="O156" s="88"/>
      <c r="P156" s="88"/>
      <c r="Q156" s="153"/>
      <c r="R156" s="59"/>
      <c r="S156" s="59"/>
    </row>
    <row r="157" spans="1:41" ht="15">
      <c r="A157" s="102"/>
      <c r="B157" s="143" t="s">
        <v>167</v>
      </c>
      <c r="C157" s="118" t="s">
        <v>122</v>
      </c>
      <c r="D157" s="119">
        <f>'Historical Dataset'!F102</f>
        <v>832</v>
      </c>
      <c r="E157" s="119">
        <f>'Historical Dataset'!G102</f>
        <v>2206</v>
      </c>
      <c r="F157" s="119">
        <f>'Historical Dataset'!H102</f>
        <v>1240</v>
      </c>
      <c r="G157" s="119">
        <f>'Historical Dataset'!I102</f>
        <v>0</v>
      </c>
      <c r="H157" s="119">
        <f>'Historical Dataset'!J102</f>
        <v>0</v>
      </c>
      <c r="I157" s="119">
        <f>'Historical Dataset'!K102</f>
        <v>0</v>
      </c>
      <c r="J157" s="119">
        <f>'Historical Dataset'!L102</f>
        <v>0</v>
      </c>
      <c r="K157" s="119">
        <f>'Historical Dataset'!M102</f>
        <v>1129</v>
      </c>
      <c r="L157" s="119">
        <f>'Historical Dataset'!N102</f>
        <v>1335</v>
      </c>
      <c r="M157" s="162">
        <f>M152*M158</f>
        <v>1312.3352107614621</v>
      </c>
      <c r="N157" s="162">
        <f>N152*N158</f>
        <v>1279.8166566903876</v>
      </c>
      <c r="O157" s="162">
        <f>O152*O158</f>
        <v>1237.6569311978005</v>
      </c>
      <c r="P157" s="162">
        <f>P152*P158</f>
        <v>1186.2502501077654</v>
      </c>
      <c r="Q157" s="163">
        <f>Q152*Q158</f>
        <v>1180.02391816215</v>
      </c>
      <c r="R157" s="59"/>
      <c r="S157" s="59" t="s">
        <v>168</v>
      </c>
    </row>
    <row r="158" spans="1:41" s="123" customFormat="1" ht="15">
      <c r="A158" s="132"/>
      <c r="B158" s="146" t="s">
        <v>169</v>
      </c>
      <c r="C158" s="122" t="s">
        <v>31</v>
      </c>
      <c r="D158" s="124">
        <f t="shared" ref="D158:L158" si="112">IFERROR(D157/D152,"")</f>
        <v>8.1942800117786666E-2</v>
      </c>
      <c r="E158" s="124">
        <f t="shared" si="112"/>
        <v>0.20696155409538247</v>
      </c>
      <c r="F158" s="124">
        <f t="shared" si="112"/>
        <v>0.10790406537524269</v>
      </c>
      <c r="G158" s="124">
        <f t="shared" si="112"/>
        <v>0</v>
      </c>
      <c r="H158" s="124">
        <f t="shared" si="112"/>
        <v>0</v>
      </c>
      <c r="I158" s="124">
        <f t="shared" si="112"/>
        <v>0</v>
      </c>
      <c r="J158" s="124">
        <f t="shared" si="112"/>
        <v>0</v>
      </c>
      <c r="K158" s="124">
        <f t="shared" si="112"/>
        <v>8.2503232544352226E-2</v>
      </c>
      <c r="L158" s="124">
        <f t="shared" si="112"/>
        <v>9.2248068620946463E-2</v>
      </c>
      <c r="M158" s="125">
        <f>MAX(L158-D42,D41)</f>
        <v>8.7248068620946459E-2</v>
      </c>
      <c r="N158" s="125">
        <f>MAX(M158-D42,D41)</f>
        <v>8.2248068620946455E-2</v>
      </c>
      <c r="O158" s="125">
        <f>MAX(N158-D42,D41)</f>
        <v>7.724806862094645E-2</v>
      </c>
      <c r="P158" s="125">
        <f>MAX(O158-D42,D41)</f>
        <v>7.2248068620946446E-2</v>
      </c>
      <c r="Q158" s="147">
        <f>MAX(P158-D42,D41)</f>
        <v>7.0000000000000007E-2</v>
      </c>
      <c r="R158" s="126"/>
      <c r="S158" s="126"/>
    </row>
    <row r="159" spans="1:41" s="123" customFormat="1" ht="15">
      <c r="A159" s="132"/>
      <c r="B159" s="146"/>
      <c r="C159" s="122"/>
      <c r="D159" s="124"/>
      <c r="E159" s="124"/>
      <c r="F159" s="124"/>
      <c r="G159" s="124"/>
      <c r="H159" s="124"/>
      <c r="I159" s="124"/>
      <c r="J159" s="124"/>
      <c r="K159" s="124"/>
      <c r="L159" s="124"/>
      <c r="M159" s="125"/>
      <c r="N159" s="125"/>
      <c r="O159" s="125"/>
      <c r="P159" s="125"/>
      <c r="Q159" s="147"/>
      <c r="R159" s="126"/>
      <c r="S159" s="126"/>
    </row>
    <row r="160" spans="1:41" ht="15">
      <c r="A160" s="102"/>
      <c r="B160" s="143" t="s">
        <v>170</v>
      </c>
      <c r="C160" s="118" t="s">
        <v>122</v>
      </c>
      <c r="D160" s="119">
        <f t="shared" ref="D160:L160" si="113">IFERROR(D152-D157,"")</f>
        <v>9321.4240812379121</v>
      </c>
      <c r="E160" s="119">
        <f t="shared" si="113"/>
        <v>8452.9845135358792</v>
      </c>
      <c r="F160" s="119">
        <f t="shared" si="113"/>
        <v>10251.689360246322</v>
      </c>
      <c r="G160" s="119">
        <f t="shared" si="113"/>
        <v>11464.613017211899</v>
      </c>
      <c r="H160" s="119">
        <f t="shared" si="113"/>
        <v>12101</v>
      </c>
      <c r="I160" s="119">
        <f t="shared" si="113"/>
        <v>12654.289412004484</v>
      </c>
      <c r="J160" s="119">
        <f t="shared" si="113"/>
        <v>13288.701260627382</v>
      </c>
      <c r="K160" s="119">
        <f t="shared" si="113"/>
        <v>12555.31230125523</v>
      </c>
      <c r="L160" s="119">
        <f t="shared" si="113"/>
        <v>13136.84770323599</v>
      </c>
      <c r="M160" s="162">
        <f>M152-M157</f>
        <v>13729.088989274038</v>
      </c>
      <c r="N160" s="162">
        <f>N152-N157</f>
        <v>14280.629663193791</v>
      </c>
      <c r="O160" s="162">
        <f>O152-O157</f>
        <v>14784.192589350598</v>
      </c>
      <c r="P160" s="162">
        <f>P152-P157</f>
        <v>15232.877247009066</v>
      </c>
      <c r="Q160" s="163">
        <f>Q152-Q157</f>
        <v>15677.46062701142</v>
      </c>
      <c r="R160" s="59"/>
      <c r="S160" s="59" t="s">
        <v>171</v>
      </c>
    </row>
    <row r="161" spans="1:41" s="130" customFormat="1" ht="15">
      <c r="A161" s="131"/>
      <c r="B161" s="146" t="s">
        <v>172</v>
      </c>
      <c r="C161" s="127" t="s">
        <v>31</v>
      </c>
      <c r="D161" s="124">
        <f>IFERROR(D160/D152,"")</f>
        <v>0.91805719988221335</v>
      </c>
      <c r="E161" s="124">
        <f>IFERROR(E160/E152,"")</f>
        <v>0.79303844590461747</v>
      </c>
      <c r="F161" s="124">
        <f>IFERROR(F160/F152,"")</f>
        <v>0.89209593462475734</v>
      </c>
      <c r="G161" s="124">
        <f>IFERROR(G160/G152,"")</f>
        <v>1</v>
      </c>
      <c r="H161" s="124">
        <f>IFERROR(H160/H152,"")</f>
        <v>1</v>
      </c>
      <c r="I161" s="124">
        <f>IFERROR(I160/I152,"")</f>
        <v>1</v>
      </c>
      <c r="J161" s="124">
        <f>IFERROR(J160/J152,"")</f>
        <v>1</v>
      </c>
      <c r="K161" s="124">
        <f>IFERROR(K160/K152,"")</f>
        <v>0.91749676745564779</v>
      </c>
      <c r="L161" s="124">
        <f>IFERROR(L160/L152,"")</f>
        <v>0.90775193137905352</v>
      </c>
      <c r="M161" s="125">
        <f>M160/M152</f>
        <v>0.91275193137905353</v>
      </c>
      <c r="N161" s="125">
        <f>N160/N152</f>
        <v>0.91775193137905353</v>
      </c>
      <c r="O161" s="125">
        <f>O160/O152</f>
        <v>0.92275193137905354</v>
      </c>
      <c r="P161" s="125">
        <f>P160/P152</f>
        <v>0.92775193137905354</v>
      </c>
      <c r="Q161" s="147">
        <f>Q160/Q152</f>
        <v>0.92999999999999994</v>
      </c>
      <c r="R161" s="127"/>
      <c r="S161" s="127"/>
    </row>
    <row r="162" spans="1:41" s="131" customFormat="1" ht="15">
      <c r="B162" s="146"/>
      <c r="C162" s="127"/>
      <c r="D162" s="124"/>
      <c r="E162" s="124"/>
      <c r="F162" s="124"/>
      <c r="G162" s="124"/>
      <c r="H162" s="124"/>
      <c r="I162" s="124"/>
      <c r="J162" s="124"/>
      <c r="K162" s="124"/>
      <c r="L162" s="124"/>
      <c r="M162" s="125"/>
      <c r="N162" s="125"/>
      <c r="O162" s="125"/>
      <c r="P162" s="125"/>
      <c r="Q162" s="147"/>
      <c r="R162" s="127"/>
      <c r="S162" s="127"/>
    </row>
    <row r="163" spans="1:41" s="102" customFormat="1" ht="15">
      <c r="B163" s="143" t="s">
        <v>173</v>
      </c>
      <c r="C163" s="56" t="s">
        <v>28</v>
      </c>
      <c r="D163" s="84">
        <f t="shared" ref="D163:K163" si="114">SUM(D167,D170,D175)</f>
        <v>0</v>
      </c>
      <c r="E163" s="84">
        <f t="shared" si="114"/>
        <v>-84100.478999999992</v>
      </c>
      <c r="F163" s="84">
        <f t="shared" si="114"/>
        <v>-90152.295999999988</v>
      </c>
      <c r="G163" s="84">
        <f t="shared" si="114"/>
        <v>-87499.392000000007</v>
      </c>
      <c r="H163" s="84">
        <f t="shared" si="114"/>
        <v>-94220.013999999996</v>
      </c>
      <c r="I163" s="84">
        <f t="shared" si="114"/>
        <v>-117346.667</v>
      </c>
      <c r="J163" s="84">
        <f t="shared" si="114"/>
        <v>-143575.53</v>
      </c>
      <c r="K163" s="84">
        <f t="shared" si="114"/>
        <v>-150605.90400000001</v>
      </c>
      <c r="L163" s="84">
        <f>SUM(L167,L170,L175)</f>
        <v>-144663.60499999998</v>
      </c>
      <c r="M163" s="144">
        <f>SUM(M167,M170,M175)</f>
        <v>-160858.99457939592</v>
      </c>
      <c r="N163" s="144">
        <f>SUM(N167,N170,N175)</f>
        <v>-169509.86280583049</v>
      </c>
      <c r="O163" s="144">
        <f>SUM(O167,O170,O175)</f>
        <v>-177757.23220855408</v>
      </c>
      <c r="P163" s="144">
        <f>SUM(P167,P170,P175)</f>
        <v>-185493.88052890531</v>
      </c>
      <c r="Q163" s="145">
        <f>SUM(Q167,Q170,Q175)</f>
        <v>-195349.34929771989</v>
      </c>
      <c r="R163" s="59"/>
      <c r="S163" s="59" t="s">
        <v>174</v>
      </c>
    </row>
    <row r="164" spans="1:41" s="102" customFormat="1" ht="15">
      <c r="A164" s="132"/>
      <c r="B164" s="146" t="s">
        <v>123</v>
      </c>
      <c r="C164" s="122" t="s">
        <v>31</v>
      </c>
      <c r="D164" s="124"/>
      <c r="E164" s="124" t="str">
        <f t="shared" ref="E164:Q164" si="115">IFERROR(E163/D163-1,"")</f>
        <v/>
      </c>
      <c r="F164" s="124">
        <f t="shared" si="115"/>
        <v>7.1959364226688916E-2</v>
      </c>
      <c r="G164" s="124">
        <f t="shared" si="115"/>
        <v>-2.9426915538568021E-2</v>
      </c>
      <c r="H164" s="124">
        <f t="shared" si="115"/>
        <v>7.6807642274816956E-2</v>
      </c>
      <c r="I164" s="124">
        <f t="shared" si="115"/>
        <v>0.24545372069250604</v>
      </c>
      <c r="J164" s="124">
        <f t="shared" si="115"/>
        <v>0.22351604583707507</v>
      </c>
      <c r="K164" s="124">
        <f t="shared" si="115"/>
        <v>4.8966380273853138E-2</v>
      </c>
      <c r="L164" s="124">
        <f t="shared" si="115"/>
        <v>-3.9455949880955687E-2</v>
      </c>
      <c r="M164" s="124">
        <f t="shared" si="115"/>
        <v>0.11195206686157122</v>
      </c>
      <c r="N164" s="124">
        <f t="shared" si="115"/>
        <v>5.3779201151010092E-2</v>
      </c>
      <c r="O164" s="124">
        <f t="shared" si="115"/>
        <v>4.8654215549515101E-2</v>
      </c>
      <c r="P164" s="124">
        <f t="shared" si="115"/>
        <v>4.3523676782243115E-2</v>
      </c>
      <c r="Q164" s="154">
        <f t="shared" si="115"/>
        <v>5.3130964432429373E-2</v>
      </c>
      <c r="R164" s="121"/>
      <c r="S164" s="121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</row>
    <row r="165" spans="1:41" ht="15">
      <c r="A165" s="132"/>
      <c r="B165" s="146" t="s">
        <v>175</v>
      </c>
      <c r="C165" s="122" t="s">
        <v>31</v>
      </c>
      <c r="D165" s="124">
        <f>IFERROR(D163/D95,"")</f>
        <v>0</v>
      </c>
      <c r="E165" s="124">
        <f>IFERROR(E163/E95,"")</f>
        <v>-0.67032096315248313</v>
      </c>
      <c r="F165" s="124">
        <f>IFERROR(F163/F95,"")</f>
        <v>-0.67735807774956036</v>
      </c>
      <c r="G165" s="124">
        <f>IFERROR(G163/G95,"")</f>
        <v>-0.65661150091175835</v>
      </c>
      <c r="H165" s="124">
        <f>IFERROR(H163/H95,"")</f>
        <v>-0.65376085206772128</v>
      </c>
      <c r="I165" s="124">
        <f>IFERROR(I163/I95,"")</f>
        <v>-0.74574950112485228</v>
      </c>
      <c r="J165" s="124">
        <f>IFERROR(J163/J95,"")</f>
        <v>-0.75180668572685283</v>
      </c>
      <c r="K165" s="124">
        <f>IFERROR(K163/K95,"")</f>
        <v>-0.65162664036032769</v>
      </c>
      <c r="L165" s="124">
        <f>IFERROR(L163/L95,"")</f>
        <v>-0.65970889348972106</v>
      </c>
      <c r="M165" s="124">
        <f>IFERROR(M163/M95,"")</f>
        <v>-0.67920202428712428</v>
      </c>
      <c r="N165" s="124">
        <f>IFERROR(N163/N95,"")</f>
        <v>-0.66747820690442228</v>
      </c>
      <c r="O165" s="124">
        <f>IFERROR(O163/O95,"")</f>
        <v>-0.65750391822325527</v>
      </c>
      <c r="P165" s="124">
        <f>IFERROR(P163/P95,"")</f>
        <v>-0.64920622686272911</v>
      </c>
      <c r="Q165" s="154">
        <f>IFERROR(Q163/Q95,"")</f>
        <v>-0.65164669432124989</v>
      </c>
      <c r="R165" s="121"/>
      <c r="S165" s="121"/>
      <c r="T165" s="123"/>
      <c r="U165" s="123"/>
      <c r="V165" s="123"/>
      <c r="W165" s="123"/>
      <c r="X165" s="123"/>
      <c r="Y165" s="123"/>
      <c r="Z165" s="123"/>
      <c r="AA165" s="123"/>
      <c r="AB165" s="123"/>
      <c r="AC165" s="123"/>
      <c r="AD165" s="123"/>
      <c r="AE165" s="123"/>
      <c r="AF165" s="123"/>
      <c r="AG165" s="123"/>
      <c r="AH165" s="123"/>
      <c r="AI165" s="123"/>
      <c r="AJ165" s="123"/>
      <c r="AK165" s="123"/>
      <c r="AL165" s="123"/>
      <c r="AM165" s="123"/>
      <c r="AN165" s="123"/>
      <c r="AO165" s="123"/>
    </row>
    <row r="166" spans="1:41" ht="15">
      <c r="A166" s="132"/>
      <c r="B166" s="146"/>
      <c r="C166" s="122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54"/>
      <c r="R166" s="121"/>
      <c r="S166" s="121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  <c r="AN166" s="123"/>
      <c r="AO166" s="123"/>
    </row>
    <row r="167" spans="1:41" ht="15">
      <c r="A167" s="102"/>
      <c r="B167" s="143" t="s">
        <v>176</v>
      </c>
      <c r="C167" s="118" t="s">
        <v>28</v>
      </c>
      <c r="D167" s="119">
        <f>'Historical Dataset'!F93</f>
        <v>0</v>
      </c>
      <c r="E167" s="119">
        <f>'Historical Dataset'!G93</f>
        <v>-23591.184000000001</v>
      </c>
      <c r="F167" s="119">
        <f>'Historical Dataset'!H93</f>
        <v>-18288.556</v>
      </c>
      <c r="G167" s="119">
        <f>'Historical Dataset'!I93</f>
        <v>-11060.502</v>
      </c>
      <c r="H167" s="119">
        <f>'Historical Dataset'!J93</f>
        <v>-11184.191999999999</v>
      </c>
      <c r="I167" s="119">
        <f>'Historical Dataset'!K93</f>
        <v>-26494.109</v>
      </c>
      <c r="J167" s="119">
        <f>'Historical Dataset'!L93</f>
        <v>-28093.511999999999</v>
      </c>
      <c r="K167" s="119">
        <f>'Historical Dataset'!M93</f>
        <v>-43756.771000000001</v>
      </c>
      <c r="L167" s="119">
        <f>'Historical Dataset'!N93</f>
        <v>-44198.184999999998</v>
      </c>
      <c r="M167" s="148">
        <f>-M157*M168</f>
        <v>-44838.146163985817</v>
      </c>
      <c r="N167" s="148">
        <f>-N157*N168</f>
        <v>-45126.361947973972</v>
      </c>
      <c r="O167" s="148">
        <f>-O157*O168</f>
        <v>-45036.283042550902</v>
      </c>
      <c r="P167" s="148">
        <f>-P157*P168</f>
        <v>-44546.980910560189</v>
      </c>
      <c r="Q167" s="149">
        <f>-Q157*Q168</f>
        <v>-45731.18618609308</v>
      </c>
      <c r="R167" s="59"/>
      <c r="S167" s="59" t="s">
        <v>177</v>
      </c>
    </row>
    <row r="168" spans="1:41" ht="15">
      <c r="A168" s="102"/>
      <c r="B168" s="152" t="s">
        <v>178</v>
      </c>
      <c r="C168" s="56" t="s">
        <v>138</v>
      </c>
      <c r="D168" s="82">
        <f>IFERROR(ABS(D167)/D157,"")</f>
        <v>0</v>
      </c>
      <c r="E168" s="82">
        <f>IFERROR(ABS(E167)/E157,"")</f>
        <v>10.694099728014507</v>
      </c>
      <c r="F168" s="82">
        <f>IFERROR(ABS(F167)/F157,"")</f>
        <v>14.748835483870968</v>
      </c>
      <c r="G168" s="82" t="str">
        <f t="shared" ref="G168:J168" si="116">IFERROR(ABS(G167)/G157,"")</f>
        <v/>
      </c>
      <c r="H168" s="82" t="str">
        <f t="shared" si="116"/>
        <v/>
      </c>
      <c r="I168" s="82" t="str">
        <f t="shared" si="116"/>
        <v/>
      </c>
      <c r="J168" s="82" t="str">
        <f t="shared" si="116"/>
        <v/>
      </c>
      <c r="K168" s="82">
        <f>IFERROR(ABS(K167)/K157,"")</f>
        <v>38.75710451727192</v>
      </c>
      <c r="L168" s="82">
        <f>IFERROR(ABS(L167)/L157,"")</f>
        <v>33.107254681647937</v>
      </c>
      <c r="M168" s="155">
        <f>L168*(1+D43)</f>
        <v>34.166686831460673</v>
      </c>
      <c r="N168" s="155">
        <f>M168*(1+D43)</f>
        <v>35.260020810067417</v>
      </c>
      <c r="O168" s="155">
        <f>N168*(1+D43)</f>
        <v>36.388341475989577</v>
      </c>
      <c r="P168" s="155">
        <f>O168*(1+D43)</f>
        <v>37.552768403221243</v>
      </c>
      <c r="Q168" s="156">
        <f>P168*(1+D43)</f>
        <v>38.754456992124325</v>
      </c>
      <c r="R168" s="59"/>
      <c r="S168" s="59" t="s">
        <v>179</v>
      </c>
    </row>
    <row r="169" spans="1:41" ht="15">
      <c r="A169" s="102"/>
      <c r="B169" s="157"/>
      <c r="C169" s="56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164"/>
      <c r="R169" s="59"/>
      <c r="S169" s="59"/>
    </row>
    <row r="170" spans="1:41" ht="15">
      <c r="A170" s="102"/>
      <c r="B170" s="143" t="s">
        <v>180</v>
      </c>
      <c r="C170" s="118" t="s">
        <v>28</v>
      </c>
      <c r="D170" s="119">
        <f>'Historical Dataset'!F90</f>
        <v>0</v>
      </c>
      <c r="E170" s="119">
        <f>'Historical Dataset'!G90</f>
        <v>-52795.031000000003</v>
      </c>
      <c r="F170" s="119">
        <f>'Historical Dataset'!H90</f>
        <v>-70878.035999999993</v>
      </c>
      <c r="G170" s="119">
        <f>'Historical Dataset'!I90</f>
        <v>-74445.008000000002</v>
      </c>
      <c r="H170" s="119">
        <f>'Historical Dataset'!J90</f>
        <v>-76037.297999999995</v>
      </c>
      <c r="I170" s="119">
        <f>'Historical Dataset'!K90</f>
        <v>-80655.152000000002</v>
      </c>
      <c r="J170" s="119">
        <f>'Historical Dataset'!L90</f>
        <v>-93430.911999999997</v>
      </c>
      <c r="K170" s="119">
        <f>'Historical Dataset'!M90</f>
        <v>-106366.49</v>
      </c>
      <c r="L170" s="119">
        <f>'Historical Dataset'!N90</f>
        <v>-100031.19899999999</v>
      </c>
      <c r="M170" s="148">
        <f>-M160*M171</f>
        <v>-107886.15779373424</v>
      </c>
      <c r="N170" s="148">
        <f>-N160*N171</f>
        <v>-115811.33307293629</v>
      </c>
      <c r="O170" s="148">
        <f>-O160*O171</f>
        <v>-123731.70928194886</v>
      </c>
      <c r="P170" s="148">
        <f>-P160*P171</f>
        <v>-131566.41496305916</v>
      </c>
      <c r="Q170" s="149">
        <f>-Q160*Q171</f>
        <v>-139739.28425976192</v>
      </c>
      <c r="R170" s="59"/>
      <c r="S170" s="59" t="s">
        <v>181</v>
      </c>
    </row>
    <row r="171" spans="1:41" ht="15">
      <c r="A171" s="182"/>
      <c r="B171" s="152" t="s">
        <v>182</v>
      </c>
      <c r="C171" s="56" t="s">
        <v>138</v>
      </c>
      <c r="D171" s="82">
        <f>IFERROR(ABS(D170)/D160,"")</f>
        <v>0</v>
      </c>
      <c r="E171" s="82">
        <f>IFERROR(ABS(E170)/E160,"")</f>
        <v>6.2457266916150855</v>
      </c>
      <c r="F171" s="82">
        <f>IFERROR(ABS(F170)/F160,"")</f>
        <v>6.9137908406441388</v>
      </c>
      <c r="G171" s="82">
        <f>IFERROR(ABS(G170)/G160,"")</f>
        <v>6.4934601707214386</v>
      </c>
      <c r="H171" s="82">
        <f>IFERROR(ABS(H170)/H160,"")</f>
        <v>6.283554912817122</v>
      </c>
      <c r="I171" s="82">
        <f>IFERROR(ABS(I170)/I160,"")</f>
        <v>6.3737401108818119</v>
      </c>
      <c r="J171" s="82">
        <f>IFERROR(ABS(J170)/J160,"")</f>
        <v>7.0308535174030213</v>
      </c>
      <c r="K171" s="82">
        <f>IFERROR(ABS(K170)/K160,"")</f>
        <v>8.4718314803978156</v>
      </c>
      <c r="L171" s="82">
        <f>IFERROR(ABS(L170)/L160,"")</f>
        <v>7.6145511662862155</v>
      </c>
      <c r="M171" s="155">
        <f>L171*(1+D43)</f>
        <v>7.858216803607375</v>
      </c>
      <c r="N171" s="155">
        <f>M171*(1+D43)</f>
        <v>8.109679741322811</v>
      </c>
      <c r="O171" s="155">
        <f>N171*(1+D43)</f>
        <v>8.3691894930451411</v>
      </c>
      <c r="P171" s="155">
        <f>O171*(1+D43)</f>
        <v>8.6370035568225862</v>
      </c>
      <c r="Q171" s="156">
        <f>P171*(1+D43)</f>
        <v>8.9133876706409101</v>
      </c>
      <c r="R171" s="59"/>
      <c r="S171" s="59" t="s">
        <v>179</v>
      </c>
    </row>
    <row r="172" spans="1:41" ht="15">
      <c r="A172" s="131"/>
      <c r="B172" s="146" t="s">
        <v>123</v>
      </c>
      <c r="C172" s="127" t="s">
        <v>31</v>
      </c>
      <c r="D172" s="124"/>
      <c r="E172" s="124" t="str">
        <f t="shared" ref="E172" si="117">IFERROR(E171/D171-1,"")</f>
        <v/>
      </c>
      <c r="F172" s="124">
        <f t="shared" ref="F172" si="118">IFERROR(F171/E171-1,"")</f>
        <v>0.10696339785824005</v>
      </c>
      <c r="G172" s="124">
        <f t="shared" ref="G172" si="119">IFERROR(G171/F171-1,"")</f>
        <v>-6.0795977143494162E-2</v>
      </c>
      <c r="H172" s="124">
        <f t="shared" ref="H172" si="120">IFERROR(H171/G171-1,"")</f>
        <v>-3.2325640318972781E-2</v>
      </c>
      <c r="I172" s="124">
        <f t="shared" ref="I172" si="121">IFERROR(I171/H171-1,"")</f>
        <v>1.4352575781701349E-2</v>
      </c>
      <c r="J172" s="124">
        <f t="shared" ref="J172" si="122">IFERROR(J171/I171-1,"")</f>
        <v>0.10309698781086585</v>
      </c>
      <c r="K172" s="124">
        <f t="shared" ref="K172" si="123">IFERROR(K171/J171-1,"")</f>
        <v>0.20495064495769033</v>
      </c>
      <c r="L172" s="124">
        <f t="shared" ref="L172" si="124">IFERROR(L171/K171-1,"")</f>
        <v>-0.10119185161970956</v>
      </c>
      <c r="M172" s="125">
        <f>(AVERAGE(F172:L172))</f>
        <v>3.3578591046617298E-2</v>
      </c>
      <c r="N172" s="125">
        <f t="shared" ref="N172" si="125">(AVERAGE(G172:M172))</f>
        <v>2.3095047216385476E-2</v>
      </c>
      <c r="O172" s="125">
        <f>(AVERAGE(L172:N172))</f>
        <v>-1.4839404452235597E-2</v>
      </c>
      <c r="P172" s="125">
        <f t="shared" ref="P172:Q172" si="126">(AVERAGE(M172:O172))</f>
        <v>1.3944744603589057E-2</v>
      </c>
      <c r="Q172" s="147">
        <f t="shared" si="126"/>
        <v>7.4001291225796462E-3</v>
      </c>
      <c r="R172" s="126"/>
      <c r="S172" s="126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</row>
    <row r="173" spans="1:41" ht="15">
      <c r="A173" s="102"/>
      <c r="B173" s="157"/>
      <c r="C173" s="56"/>
      <c r="D173" s="82"/>
      <c r="E173" s="82"/>
      <c r="F173" s="82"/>
      <c r="G173" s="82"/>
      <c r="H173" s="82"/>
      <c r="I173" s="82"/>
      <c r="J173" s="82"/>
      <c r="K173" s="82"/>
      <c r="L173" s="82"/>
      <c r="M173" s="155">
        <f>L171*(1+M172)</f>
        <v>7.870237065902483</v>
      </c>
      <c r="N173" s="155">
        <f t="shared" ref="N173:Q173" si="127">M171*(1+N172)</f>
        <v>8.0397026917232814</v>
      </c>
      <c r="O173" s="155">
        <f t="shared" si="127"/>
        <v>7.9893369236632203</v>
      </c>
      <c r="P173" s="155">
        <f t="shared" si="127"/>
        <v>8.4858957030646955</v>
      </c>
      <c r="Q173" s="156">
        <f t="shared" si="127"/>
        <v>8.7009184983752519</v>
      </c>
      <c r="R173" s="59"/>
      <c r="S173" s="59"/>
    </row>
    <row r="174" spans="1:41" ht="15">
      <c r="A174" s="102"/>
      <c r="B174" s="157"/>
      <c r="C174" s="56"/>
      <c r="D174" s="82"/>
      <c r="E174" s="82"/>
      <c r="F174" s="82"/>
      <c r="G174" s="82"/>
      <c r="H174" s="82"/>
      <c r="I174" s="82"/>
      <c r="J174" s="82"/>
      <c r="K174" s="82"/>
      <c r="L174" s="82"/>
      <c r="M174" s="83"/>
      <c r="N174" s="83"/>
      <c r="O174" s="83"/>
      <c r="P174" s="83"/>
      <c r="Q174" s="160"/>
      <c r="R174" s="59"/>
      <c r="S174" s="59"/>
    </row>
    <row r="175" spans="1:41" ht="15">
      <c r="A175" s="102"/>
      <c r="B175" s="143" t="s">
        <v>183</v>
      </c>
      <c r="C175" s="118" t="s">
        <v>28</v>
      </c>
      <c r="D175" s="119">
        <f>'Historical Dataset'!F91+'Historical Dataset'!F92+'Historical Dataset'!F94</f>
        <v>0</v>
      </c>
      <c r="E175" s="119">
        <f>'Historical Dataset'!G91+'Historical Dataset'!G92+'Historical Dataset'!G94</f>
        <v>-7714.2640000000001</v>
      </c>
      <c r="F175" s="119">
        <f>'Historical Dataset'!H91+'Historical Dataset'!H92+'Historical Dataset'!H94</f>
        <v>-985.70399999999995</v>
      </c>
      <c r="G175" s="119">
        <f>'Historical Dataset'!I91+'Historical Dataset'!I92+'Historical Dataset'!I94</f>
        <v>-1993.8820000000001</v>
      </c>
      <c r="H175" s="119">
        <f>'Historical Dataset'!J91+'Historical Dataset'!J92+'Historical Dataset'!J94</f>
        <v>-6998.5240000000003</v>
      </c>
      <c r="I175" s="119">
        <f>'Historical Dataset'!K91+'Historical Dataset'!K92+'Historical Dataset'!K94</f>
        <v>-10197.406000000001</v>
      </c>
      <c r="J175" s="119">
        <f>'Historical Dataset'!L91+'Historical Dataset'!L92+'Historical Dataset'!L94</f>
        <v>-22051.106</v>
      </c>
      <c r="K175" s="119">
        <f>'Historical Dataset'!M91+'Historical Dataset'!M92+'Historical Dataset'!M94</f>
        <v>-482.64300000000003</v>
      </c>
      <c r="L175" s="119">
        <f>'Historical Dataset'!N91+'Historical Dataset'!N92+'Historical Dataset'!N94</f>
        <v>-434.221</v>
      </c>
      <c r="M175" s="148">
        <f>(M167+M170)*M176</f>
        <v>-8134.6906216758716</v>
      </c>
      <c r="N175" s="148">
        <f>(N167+N170)*N176</f>
        <v>-8572.1677849202133</v>
      </c>
      <c r="O175" s="148">
        <f>(O167+O170)*O176</f>
        <v>-8989.2398840543301</v>
      </c>
      <c r="P175" s="148">
        <f>(P167+P170)*P176</f>
        <v>-9380.4846552859581</v>
      </c>
      <c r="Q175" s="149">
        <f>(Q167+Q170)*Q176</f>
        <v>-9878.8788518649071</v>
      </c>
      <c r="R175" s="59"/>
      <c r="S175" s="59" t="s">
        <v>184</v>
      </c>
    </row>
    <row r="176" spans="1:41" ht="15">
      <c r="A176" s="102"/>
      <c r="B176" s="146" t="s">
        <v>185</v>
      </c>
      <c r="C176" s="127" t="s">
        <v>31</v>
      </c>
      <c r="D176" s="124" t="str">
        <f t="shared" ref="D176:K176" si="128">IFERROR(D175/D163,"")</f>
        <v/>
      </c>
      <c r="E176" s="124">
        <f t="shared" si="128"/>
        <v>9.1726754612182423E-2</v>
      </c>
      <c r="F176" s="124">
        <f t="shared" si="128"/>
        <v>1.0933764792856746E-2</v>
      </c>
      <c r="G176" s="124">
        <f t="shared" si="128"/>
        <v>2.2787381196888772E-2</v>
      </c>
      <c r="H176" s="124">
        <f t="shared" si="128"/>
        <v>7.4278528551269374E-2</v>
      </c>
      <c r="I176" s="124">
        <f t="shared" si="128"/>
        <v>8.6899834999148301E-2</v>
      </c>
      <c r="J176" s="124">
        <f t="shared" si="128"/>
        <v>0.15358540553533043</v>
      </c>
      <c r="K176" s="124">
        <f t="shared" si="128"/>
        <v>3.2046751633322424E-3</v>
      </c>
      <c r="L176" s="124">
        <f>IFERROR(L175/L163,"")</f>
        <v>3.001591174227962E-3</v>
      </c>
      <c r="M176" s="165">
        <f>AVERAGE(J176:L176)</f>
        <v>5.3263890624296879E-2</v>
      </c>
      <c r="N176" s="165">
        <f>AVERAGE(J176:L176)</f>
        <v>5.3263890624296879E-2</v>
      </c>
      <c r="O176" s="165">
        <f>AVERAGE(J176:L176)</f>
        <v>5.3263890624296879E-2</v>
      </c>
      <c r="P176" s="165">
        <f>AVERAGE(J176:L176)</f>
        <v>5.3263890624296879E-2</v>
      </c>
      <c r="Q176" s="166">
        <f>AVERAGE(J176:L176)</f>
        <v>5.3263890624296879E-2</v>
      </c>
      <c r="R176" s="59"/>
      <c r="S176" s="59"/>
    </row>
    <row r="177" spans="1:41" ht="15">
      <c r="A177" s="102"/>
      <c r="B177" s="157"/>
      <c r="C177" s="56"/>
      <c r="D177" s="57"/>
      <c r="E177" s="57"/>
      <c r="F177" s="57"/>
      <c r="G177" s="57"/>
      <c r="H177" s="57"/>
      <c r="I177" s="57"/>
      <c r="J177" s="57"/>
      <c r="K177" s="57"/>
      <c r="L177" s="57"/>
      <c r="M177" s="58"/>
      <c r="N177" s="58"/>
      <c r="O177" s="58"/>
      <c r="P177" s="58"/>
      <c r="Q177" s="158"/>
      <c r="R177" s="59"/>
      <c r="S177" s="59"/>
    </row>
    <row r="178" spans="1:41" ht="15">
      <c r="A178" s="102"/>
      <c r="B178" s="195" t="s">
        <v>186</v>
      </c>
      <c r="C178" s="196"/>
      <c r="D178" s="134">
        <v>43100</v>
      </c>
      <c r="E178" s="134">
        <f t="shared" ref="E178:E179" si="129">EOMONTH(D178,12)</f>
        <v>43465</v>
      </c>
      <c r="F178" s="134">
        <f t="shared" ref="F178:F179" si="130">EOMONTH(E178,12)</f>
        <v>43830</v>
      </c>
      <c r="G178" s="134">
        <f t="shared" ref="G178:G179" si="131">EOMONTH(F178,12)</f>
        <v>44196</v>
      </c>
      <c r="H178" s="134">
        <f t="shared" ref="H178:H179" si="132">EOMONTH(G178,12)</f>
        <v>44561</v>
      </c>
      <c r="I178" s="134">
        <f t="shared" ref="I178:I179" si="133">EOMONTH(H178,12)</f>
        <v>44926</v>
      </c>
      <c r="J178" s="134">
        <f t="shared" ref="J178:J179" si="134">EOMONTH(I178,12)</f>
        <v>45291</v>
      </c>
      <c r="K178" s="134">
        <f t="shared" ref="K178:K179" si="135">EOMONTH(J178,12)</f>
        <v>45657</v>
      </c>
      <c r="L178" s="135">
        <f t="shared" ref="L178:L179" si="136">EOMONTH(K178,12)</f>
        <v>46022</v>
      </c>
      <c r="M178" s="140">
        <f t="shared" ref="M178:M179" si="137">EOMONTH(L178,12)</f>
        <v>46387</v>
      </c>
      <c r="N178" s="140">
        <f t="shared" ref="N178:N179" si="138">EOMONTH(M178,12)</f>
        <v>46752</v>
      </c>
      <c r="O178" s="140">
        <f t="shared" ref="O178:O179" si="139">EOMONTH(N178,12)</f>
        <v>47118</v>
      </c>
      <c r="P178" s="140">
        <f t="shared" ref="P178:P179" si="140">EOMONTH(O178,12)</f>
        <v>47483</v>
      </c>
      <c r="Q178" s="141">
        <f t="shared" ref="Q178:Q179" si="141">EOMONTH(P178,12)</f>
        <v>47848</v>
      </c>
      <c r="R178" s="131"/>
      <c r="S178" s="130"/>
    </row>
    <row r="179" spans="1:41" ht="15">
      <c r="A179" s="102"/>
      <c r="B179" s="183" t="s">
        <v>106</v>
      </c>
      <c r="C179" s="184" t="s">
        <v>19</v>
      </c>
      <c r="D179" s="19">
        <v>43100</v>
      </c>
      <c r="E179" s="19">
        <f t="shared" si="129"/>
        <v>43465</v>
      </c>
      <c r="F179" s="19">
        <f t="shared" si="130"/>
        <v>43830</v>
      </c>
      <c r="G179" s="19">
        <f t="shared" si="131"/>
        <v>44196</v>
      </c>
      <c r="H179" s="19">
        <f t="shared" si="132"/>
        <v>44561</v>
      </c>
      <c r="I179" s="19">
        <f t="shared" si="133"/>
        <v>44926</v>
      </c>
      <c r="J179" s="19">
        <f t="shared" si="134"/>
        <v>45291</v>
      </c>
      <c r="K179" s="106">
        <f t="shared" si="135"/>
        <v>45657</v>
      </c>
      <c r="L179" s="137">
        <f t="shared" si="136"/>
        <v>46022</v>
      </c>
      <c r="M179" s="186">
        <f t="shared" si="137"/>
        <v>46387</v>
      </c>
      <c r="N179" s="186">
        <f t="shared" si="138"/>
        <v>46752</v>
      </c>
      <c r="O179" s="186">
        <f t="shared" si="139"/>
        <v>47118</v>
      </c>
      <c r="P179" s="186">
        <f t="shared" si="140"/>
        <v>47483</v>
      </c>
      <c r="Q179" s="187">
        <f t="shared" si="141"/>
        <v>47848</v>
      </c>
      <c r="R179" s="112"/>
      <c r="S179" s="111"/>
    </row>
    <row r="180" spans="1:41" s="111" customFormat="1" ht="15">
      <c r="A180" s="112"/>
      <c r="B180" s="143" t="s">
        <v>187</v>
      </c>
      <c r="C180" s="118" t="s">
        <v>28</v>
      </c>
      <c r="D180" s="119">
        <f>'Historical Dataset'!F110</f>
        <v>0</v>
      </c>
      <c r="E180" s="120">
        <f t="shared" ref="E180:K180" si="142">E184+E188+E192+E196</f>
        <v>-44540.637999999999</v>
      </c>
      <c r="F180" s="120">
        <f t="shared" si="142"/>
        <v>-41043.425999999999</v>
      </c>
      <c r="G180" s="120">
        <f t="shared" si="142"/>
        <v>-47834.470999999998</v>
      </c>
      <c r="H180" s="120">
        <f t="shared" si="142"/>
        <v>-39860.764999999999</v>
      </c>
      <c r="I180" s="120">
        <f t="shared" si="142"/>
        <v>-36155.508999999998</v>
      </c>
      <c r="J180" s="120">
        <f t="shared" si="142"/>
        <v>-37281.817000000003</v>
      </c>
      <c r="K180" s="120">
        <f t="shared" si="142"/>
        <v>-46277.938999999998</v>
      </c>
      <c r="L180" s="120">
        <f>L184+L188+L192+L196</f>
        <v>-42421.436999999998</v>
      </c>
      <c r="M180" s="167">
        <f>M184+M188+M192+M196</f>
        <v>-51421.563916484709</v>
      </c>
      <c r="N180" s="167">
        <f>N184+N188+N192+N196</f>
        <v>-53641.037387248682</v>
      </c>
      <c r="O180" s="167">
        <f>O184+O188+O192+O196</f>
        <v>-55936.961134575737</v>
      </c>
      <c r="P180" s="167">
        <f>P184+P188+P192+P196</f>
        <v>-58309.543939528099</v>
      </c>
      <c r="Q180" s="168">
        <f>Q184+Q188+Q192+Q196</f>
        <v>-60759.182088521971</v>
      </c>
      <c r="R180" s="121"/>
      <c r="S180" s="121"/>
    </row>
    <row r="181" spans="1:41" ht="15">
      <c r="A181" s="132"/>
      <c r="B181" s="146" t="s">
        <v>123</v>
      </c>
      <c r="C181" s="122" t="s">
        <v>31</v>
      </c>
      <c r="D181" s="124"/>
      <c r="E181" s="124" t="str">
        <f t="shared" ref="E181:Q181" si="143">IFERROR(E180/D180-1,"")</f>
        <v/>
      </c>
      <c r="F181" s="124">
        <f t="shared" si="143"/>
        <v>-7.8517330622879689E-2</v>
      </c>
      <c r="G181" s="124">
        <f t="shared" si="143"/>
        <v>0.16545999352003404</v>
      </c>
      <c r="H181" s="124">
        <f t="shared" si="143"/>
        <v>-0.16669372177231767</v>
      </c>
      <c r="I181" s="124">
        <f t="shared" si="143"/>
        <v>-9.2954964612445345E-2</v>
      </c>
      <c r="J181" s="124">
        <f t="shared" si="143"/>
        <v>3.1151767217549198E-2</v>
      </c>
      <c r="K181" s="124">
        <f t="shared" si="143"/>
        <v>0.24130052459621254</v>
      </c>
      <c r="L181" s="124">
        <f t="shared" si="143"/>
        <v>-8.3333486394024603E-2</v>
      </c>
      <c r="M181" s="124">
        <f t="shared" si="143"/>
        <v>0.21215987842384298</v>
      </c>
      <c r="N181" s="124">
        <f t="shared" si="143"/>
        <v>4.316230977277713E-2</v>
      </c>
      <c r="O181" s="124">
        <f t="shared" si="143"/>
        <v>4.2801628364346866E-2</v>
      </c>
      <c r="P181" s="124">
        <f t="shared" si="143"/>
        <v>4.2415296734556129E-2</v>
      </c>
      <c r="Q181" s="154">
        <f t="shared" si="143"/>
        <v>4.2010929660749152E-2</v>
      </c>
      <c r="R181" s="59"/>
      <c r="S181" s="121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</row>
    <row r="182" spans="1:41" s="130" customFormat="1" ht="15">
      <c r="A182" s="131"/>
      <c r="B182" s="146" t="s">
        <v>188</v>
      </c>
      <c r="C182" s="127" t="s">
        <v>31</v>
      </c>
      <c r="D182" s="124">
        <f>IFERROR(D180/D95,"")</f>
        <v>0</v>
      </c>
      <c r="E182" s="124">
        <f>IFERROR(E180/E95,"")</f>
        <v>-0.35501014641766893</v>
      </c>
      <c r="F182" s="124">
        <f>IFERROR(F180/F95,"")</f>
        <v>-0.30837923572813197</v>
      </c>
      <c r="G182" s="124">
        <f>IFERROR(G180/G95,"")</f>
        <v>-0.35895865194846127</v>
      </c>
      <c r="H182" s="124">
        <f>IFERROR(H180/H95,"")</f>
        <v>-0.27658038440188731</v>
      </c>
      <c r="I182" s="124">
        <f>IFERROR(I180/I95,"")</f>
        <v>-0.22977178209641952</v>
      </c>
      <c r="J182" s="124">
        <f>IFERROR(J180/J95,"")</f>
        <v>-0.19521933352184068</v>
      </c>
      <c r="K182" s="124">
        <f>IFERROR(K180/K95,"")</f>
        <v>-0.2002307818780476</v>
      </c>
      <c r="L182" s="124">
        <f>IFERROR(L180/L95,"")</f>
        <v>-0.19345431951259554</v>
      </c>
      <c r="M182" s="125">
        <f>IFERROR(M180/M95,"")</f>
        <v>-0.21711953624606151</v>
      </c>
      <c r="N182" s="125">
        <f>IFERROR(N180/N95,"")</f>
        <v>-0.21122206613279318</v>
      </c>
      <c r="O182" s="125">
        <f>IFERROR(O180/O95,"")</f>
        <v>-0.20690449925736196</v>
      </c>
      <c r="P182" s="125">
        <f>IFERROR(P180/P95,"")</f>
        <v>-0.20407637655285701</v>
      </c>
      <c r="Q182" s="147">
        <f>IFERROR(Q180/Q95,"")</f>
        <v>-0.20268058378482845</v>
      </c>
      <c r="R182" s="127"/>
      <c r="S182" s="127"/>
    </row>
    <row r="183" spans="1:41" s="130" customFormat="1" ht="15">
      <c r="A183" s="131"/>
      <c r="B183" s="146"/>
      <c r="C183" s="127"/>
      <c r="D183" s="124"/>
      <c r="E183" s="124"/>
      <c r="F183" s="124"/>
      <c r="G183" s="124"/>
      <c r="H183" s="124"/>
      <c r="I183" s="124"/>
      <c r="J183" s="124"/>
      <c r="K183" s="124"/>
      <c r="L183" s="124"/>
      <c r="M183" s="125"/>
      <c r="N183" s="125"/>
      <c r="O183" s="125"/>
      <c r="P183" s="125"/>
      <c r="Q183" s="147"/>
      <c r="R183" s="127"/>
      <c r="S183" s="127"/>
    </row>
    <row r="184" spans="1:41" s="111" customFormat="1" ht="15">
      <c r="A184" s="112"/>
      <c r="B184" s="143" t="s">
        <v>189</v>
      </c>
      <c r="C184" s="118" t="s">
        <v>28</v>
      </c>
      <c r="D184" s="119">
        <f>'Historical Dataset'!F106</f>
        <v>0</v>
      </c>
      <c r="E184" s="119">
        <f>'Historical Dataset'!G106</f>
        <v>-11312.806</v>
      </c>
      <c r="F184" s="119">
        <f>'Historical Dataset'!H106</f>
        <v>-10805.536</v>
      </c>
      <c r="G184" s="119">
        <f>'Historical Dataset'!I106</f>
        <v>-11118.76</v>
      </c>
      <c r="H184" s="119">
        <f>'Historical Dataset'!J106</f>
        <v>-10237.382</v>
      </c>
      <c r="I184" s="119">
        <f>'Historical Dataset'!K106</f>
        <v>-20261.151999999998</v>
      </c>
      <c r="J184" s="119">
        <f>'Historical Dataset'!L106</f>
        <v>-20664.395</v>
      </c>
      <c r="K184" s="119">
        <f>'Historical Dataset'!M106</f>
        <v>-22972.92</v>
      </c>
      <c r="L184" s="119">
        <f>'Historical Dataset'!N106</f>
        <v>-24348.120999999999</v>
      </c>
      <c r="M184" s="148">
        <f>L184*(1+M185)</f>
        <v>-25361.0028336</v>
      </c>
      <c r="N184" s="148">
        <f>M184*(1+N185)</f>
        <v>-26416.020551477763</v>
      </c>
      <c r="O184" s="148">
        <f>N184*(1+O185)</f>
        <v>-27514.927006419239</v>
      </c>
      <c r="P184" s="148">
        <f>O184*(1+P185)</f>
        <v>-28659.54796988628</v>
      </c>
      <c r="Q184" s="149">
        <f>P184*(1+Q185)</f>
        <v>-29851.78516543355</v>
      </c>
      <c r="R184" s="121"/>
      <c r="S184" s="121"/>
    </row>
    <row r="185" spans="1:41" s="130" customFormat="1" ht="15">
      <c r="A185" s="131"/>
      <c r="B185" s="146" t="s">
        <v>123</v>
      </c>
      <c r="C185" s="127" t="s">
        <v>31</v>
      </c>
      <c r="D185" s="124"/>
      <c r="E185" s="124" t="str">
        <f t="shared" ref="E185:L185" si="144">IFERROR(E184/D184-1,"")</f>
        <v/>
      </c>
      <c r="F185" s="124">
        <f t="shared" si="144"/>
        <v>-4.4840334042676955E-2</v>
      </c>
      <c r="G185" s="124">
        <f t="shared" si="144"/>
        <v>2.8987363514406006E-2</v>
      </c>
      <c r="H185" s="124">
        <f t="shared" si="144"/>
        <v>-7.92694509099936E-2</v>
      </c>
      <c r="I185" s="124">
        <f t="shared" si="144"/>
        <v>0.97913411846895992</v>
      </c>
      <c r="J185" s="124">
        <f t="shared" si="144"/>
        <v>1.9902274066153858E-2</v>
      </c>
      <c r="K185" s="124">
        <f t="shared" si="144"/>
        <v>0.11171510223260817</v>
      </c>
      <c r="L185" s="124">
        <f t="shared" si="144"/>
        <v>5.9861828622569613E-2</v>
      </c>
      <c r="M185" s="165">
        <f>IFERROR(MAX(MIN(AVERAGE(J185:L185),D44),D36),0)</f>
        <v>4.1600000000000005E-2</v>
      </c>
      <c r="N185" s="165">
        <f>MAX(MIN(M185,D44),D36)</f>
        <v>4.1600000000000005E-2</v>
      </c>
      <c r="O185" s="165">
        <f>MAX(MIN(N185,D44),D36)</f>
        <v>4.1600000000000005E-2</v>
      </c>
      <c r="P185" s="165">
        <f>MAX(MIN(O185,D44),D36)</f>
        <v>4.1600000000000005E-2</v>
      </c>
      <c r="Q185" s="166">
        <f>MAX(MIN(P185,D44),D36)</f>
        <v>4.1600000000000005E-2</v>
      </c>
      <c r="R185" s="127"/>
      <c r="S185" s="127"/>
    </row>
    <row r="186" spans="1:41" s="130" customFormat="1" ht="15">
      <c r="A186" s="131"/>
      <c r="B186" s="146" t="s">
        <v>190</v>
      </c>
      <c r="C186" s="127" t="s">
        <v>31</v>
      </c>
      <c r="D186" s="124" t="str">
        <f t="shared" ref="D186:Q186" si="145">IFERROR(D184/D180,"")</f>
        <v/>
      </c>
      <c r="E186" s="124">
        <f t="shared" si="145"/>
        <v>0.25398841390641957</v>
      </c>
      <c r="F186" s="124">
        <f t="shared" si="145"/>
        <v>0.26327080980033196</v>
      </c>
      <c r="G186" s="124">
        <f t="shared" si="145"/>
        <v>0.23244241584693182</v>
      </c>
      <c r="H186" s="124">
        <f t="shared" si="145"/>
        <v>0.25682853803734074</v>
      </c>
      <c r="I186" s="124">
        <f t="shared" si="145"/>
        <v>0.56038906823300427</v>
      </c>
      <c r="J186" s="124">
        <f t="shared" si="145"/>
        <v>0.55427542600726776</v>
      </c>
      <c r="K186" s="124">
        <f t="shared" si="145"/>
        <v>0.49641190805839469</v>
      </c>
      <c r="L186" s="124">
        <f t="shared" si="145"/>
        <v>0.5739579496092978</v>
      </c>
      <c r="M186" s="125">
        <f t="shared" si="145"/>
        <v>0.49319781239616822</v>
      </c>
      <c r="N186" s="125">
        <f t="shared" si="145"/>
        <v>0.49245916630533448</v>
      </c>
      <c r="O186" s="125">
        <f t="shared" si="145"/>
        <v>0.49189170180737118</v>
      </c>
      <c r="P186" s="125">
        <f t="shared" si="145"/>
        <v>0.49150698210928628</v>
      </c>
      <c r="Q186" s="147">
        <f t="shared" si="145"/>
        <v>0.4913131503637021</v>
      </c>
      <c r="R186" s="127"/>
      <c r="S186" s="127"/>
    </row>
    <row r="187" spans="1:41" ht="15">
      <c r="A187" s="102"/>
      <c r="B187" s="157"/>
      <c r="C187" s="56"/>
      <c r="D187" s="87"/>
      <c r="E187" s="87"/>
      <c r="F187" s="87"/>
      <c r="G187" s="87"/>
      <c r="H187" s="87"/>
      <c r="I187" s="87"/>
      <c r="J187" s="87"/>
      <c r="K187" s="87"/>
      <c r="L187" s="87"/>
      <c r="M187" s="88"/>
      <c r="N187" s="88"/>
      <c r="O187" s="88"/>
      <c r="P187" s="88"/>
      <c r="Q187" s="153"/>
      <c r="R187" s="59"/>
      <c r="S187" s="59"/>
    </row>
    <row r="188" spans="1:41" ht="15">
      <c r="A188" s="112"/>
      <c r="B188" s="143" t="s">
        <v>191</v>
      </c>
      <c r="C188" s="118" t="s">
        <v>28</v>
      </c>
      <c r="D188" s="119">
        <f>'Historical Dataset'!F107</f>
        <v>0</v>
      </c>
      <c r="E188" s="119">
        <f>'Historical Dataset'!G107</f>
        <v>-15418.032999999999</v>
      </c>
      <c r="F188" s="119">
        <f>'Historical Dataset'!H107</f>
        <v>-7674.1360000000004</v>
      </c>
      <c r="G188" s="119">
        <f>'Historical Dataset'!I107</f>
        <v>-6659.415</v>
      </c>
      <c r="H188" s="119">
        <f>'Historical Dataset'!J107</f>
        <v>-5765.2979999999998</v>
      </c>
      <c r="I188" s="119">
        <f>'Historical Dataset'!K107</f>
        <v>-4784.165</v>
      </c>
      <c r="J188" s="119">
        <f>'Historical Dataset'!L107</f>
        <v>-2976.8229999999999</v>
      </c>
      <c r="K188" s="119">
        <f>'Historical Dataset'!M107</f>
        <v>-5956.2150000000001</v>
      </c>
      <c r="L188" s="119">
        <f>'Historical Dataset'!N107</f>
        <v>-6118.0159999999996</v>
      </c>
      <c r="M188" s="148">
        <f>L188*(1+M189)</f>
        <v>-6372.5254655999997</v>
      </c>
      <c r="N188" s="148">
        <f>M188*(1+N189)</f>
        <v>-6637.6225249689605</v>
      </c>
      <c r="O188" s="148">
        <f>N188*(1+O189)</f>
        <v>-6913.7476220076696</v>
      </c>
      <c r="P188" s="148">
        <f>O188*(1+P189)</f>
        <v>-7201.3595230831888</v>
      </c>
      <c r="Q188" s="149">
        <f>P188*(1+Q189)</f>
        <v>-7500.93607924345</v>
      </c>
      <c r="R188" s="121"/>
      <c r="S188" s="12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</row>
    <row r="189" spans="1:41" ht="15">
      <c r="A189" s="131"/>
      <c r="B189" s="146" t="s">
        <v>123</v>
      </c>
      <c r="C189" s="127" t="s">
        <v>31</v>
      </c>
      <c r="D189" s="124"/>
      <c r="E189" s="124" t="str">
        <f t="shared" ref="E189:L189" si="146">IFERROR(E188/D188-1,"")</f>
        <v/>
      </c>
      <c r="F189" s="124">
        <f t="shared" si="146"/>
        <v>-0.50226231841636348</v>
      </c>
      <c r="G189" s="124">
        <f t="shared" si="146"/>
        <v>-0.1322260903377267</v>
      </c>
      <c r="H189" s="124">
        <f t="shared" si="146"/>
        <v>-0.13426359522570674</v>
      </c>
      <c r="I189" s="124">
        <f t="shared" si="146"/>
        <v>-0.17017906099563285</v>
      </c>
      <c r="J189" s="124">
        <f t="shared" si="146"/>
        <v>-0.37777585012222614</v>
      </c>
      <c r="K189" s="124">
        <f t="shared" si="146"/>
        <v>1.0008630005882111</v>
      </c>
      <c r="L189" s="124">
        <f t="shared" si="146"/>
        <v>2.7165070434831406E-2</v>
      </c>
      <c r="M189" s="165">
        <f>IFERROR(MAX(MIN(AVERAGE(J189:L189),D44),D36),0)</f>
        <v>4.1600000000000005E-2</v>
      </c>
      <c r="N189" s="165">
        <f>MAX(MIN(M189,D44),D36)</f>
        <v>4.1600000000000005E-2</v>
      </c>
      <c r="O189" s="165">
        <f>MAX(MIN(N189,D44),D36)</f>
        <v>4.1600000000000005E-2</v>
      </c>
      <c r="P189" s="165">
        <f>MAX(MIN(O189,D44),D36)</f>
        <v>4.1600000000000005E-2</v>
      </c>
      <c r="Q189" s="166">
        <f>MAX(MIN(P189,D44),D36)</f>
        <v>4.1600000000000005E-2</v>
      </c>
      <c r="R189" s="127"/>
      <c r="S189" s="127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</row>
    <row r="190" spans="1:41" ht="15">
      <c r="A190" s="131"/>
      <c r="B190" s="146" t="s">
        <v>190</v>
      </c>
      <c r="C190" s="127" t="s">
        <v>31</v>
      </c>
      <c r="D190" s="124" t="str">
        <f t="shared" ref="D190:Q190" si="147">IFERROR(D188/D180,"")</f>
        <v/>
      </c>
      <c r="E190" s="124">
        <f t="shared" si="147"/>
        <v>0.34615653686864567</v>
      </c>
      <c r="F190" s="124">
        <f t="shared" si="147"/>
        <v>0.186976009263944</v>
      </c>
      <c r="G190" s="124">
        <f t="shared" si="147"/>
        <v>0.13921790835734341</v>
      </c>
      <c r="H190" s="124">
        <f t="shared" si="147"/>
        <v>0.14463590952155583</v>
      </c>
      <c r="I190" s="124">
        <f t="shared" si="147"/>
        <v>0.13232188212313648</v>
      </c>
      <c r="J190" s="124">
        <f t="shared" si="147"/>
        <v>7.9846510699840612E-2</v>
      </c>
      <c r="K190" s="124">
        <f t="shared" si="147"/>
        <v>0.12870527790790337</v>
      </c>
      <c r="L190" s="124">
        <f t="shared" si="147"/>
        <v>0.14421991409673368</v>
      </c>
      <c r="M190" s="125">
        <f t="shared" si="147"/>
        <v>0.12392710334422749</v>
      </c>
      <c r="N190" s="125">
        <f t="shared" si="147"/>
        <v>0.1237415018104558</v>
      </c>
      <c r="O190" s="125">
        <f t="shared" si="147"/>
        <v>0.12359891352292547</v>
      </c>
      <c r="P190" s="125">
        <f t="shared" si="147"/>
        <v>0.123502243998883</v>
      </c>
      <c r="Q190" s="147">
        <f t="shared" si="147"/>
        <v>0.12345353938957077</v>
      </c>
      <c r="R190" s="127"/>
      <c r="S190" s="127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</row>
    <row r="191" spans="1:41" ht="15">
      <c r="A191" s="131"/>
      <c r="B191" s="146"/>
      <c r="C191" s="127"/>
      <c r="D191" s="124"/>
      <c r="E191" s="124"/>
      <c r="F191" s="124"/>
      <c r="G191" s="124"/>
      <c r="H191" s="124"/>
      <c r="I191" s="124"/>
      <c r="J191" s="124"/>
      <c r="K191" s="124"/>
      <c r="L191" s="124"/>
      <c r="M191" s="125"/>
      <c r="N191" s="125"/>
      <c r="O191" s="125"/>
      <c r="P191" s="125"/>
      <c r="Q191" s="147"/>
      <c r="R191" s="127"/>
      <c r="S191" s="127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</row>
    <row r="192" spans="1:41" ht="15">
      <c r="A192" s="112"/>
      <c r="B192" s="143" t="s">
        <v>192</v>
      </c>
      <c r="C192" s="118" t="s">
        <v>28</v>
      </c>
      <c r="D192" s="119">
        <f>'Historical Dataset'!F108</f>
        <v>0</v>
      </c>
      <c r="E192" s="119">
        <f>'Historical Dataset'!G108</f>
        <v>-17809.798999999999</v>
      </c>
      <c r="F192" s="119">
        <f>'Historical Dataset'!H108</f>
        <v>-21129.39</v>
      </c>
      <c r="G192" s="119">
        <f>'Historical Dataset'!I108</f>
        <v>-26788.609</v>
      </c>
      <c r="H192" s="119">
        <f>'Historical Dataset'!J108</f>
        <v>-23503.895</v>
      </c>
      <c r="I192" s="119">
        <f>'Historical Dataset'!K108</f>
        <v>-11942.109</v>
      </c>
      <c r="J192" s="119">
        <f>'Historical Dataset'!L108</f>
        <v>-11269.511</v>
      </c>
      <c r="K192" s="119">
        <f>'Historical Dataset'!M108</f>
        <v>-16170.315000000001</v>
      </c>
      <c r="L192" s="119">
        <f>'Historical Dataset'!N108</f>
        <v>-16388.444</v>
      </c>
      <c r="M192" s="148">
        <f>L192*(1+M193)</f>
        <v>-17070.203270400001</v>
      </c>
      <c r="N192" s="148">
        <f>M192*(1+N193)</f>
        <v>-17780.323726448642</v>
      </c>
      <c r="O192" s="148">
        <f>N192*(1+O193)</f>
        <v>-18519.985193468907</v>
      </c>
      <c r="P192" s="148">
        <f>O192*(1+P193)</f>
        <v>-19290.416577517215</v>
      </c>
      <c r="Q192" s="149">
        <f>P192*(1+Q193)</f>
        <v>-20092.897907141934</v>
      </c>
      <c r="R192" s="121"/>
      <c r="S192" s="12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</row>
    <row r="193" spans="1:41" ht="15">
      <c r="A193" s="131"/>
      <c r="B193" s="146" t="s">
        <v>123</v>
      </c>
      <c r="C193" s="127" t="s">
        <v>31</v>
      </c>
      <c r="D193" s="124"/>
      <c r="E193" s="124" t="str">
        <f t="shared" ref="E193:L193" si="148">IFERROR(E192/D192-1,"")</f>
        <v/>
      </c>
      <c r="F193" s="124">
        <f t="shared" si="148"/>
        <v>0.18639126696488839</v>
      </c>
      <c r="G193" s="124">
        <f t="shared" si="148"/>
        <v>0.26783636441941772</v>
      </c>
      <c r="H193" s="124">
        <f t="shared" si="148"/>
        <v>-0.12261607162954968</v>
      </c>
      <c r="I193" s="124">
        <f t="shared" si="148"/>
        <v>-0.4919093622567664</v>
      </c>
      <c r="J193" s="124">
        <f t="shared" si="148"/>
        <v>-5.6321542534907398E-2</v>
      </c>
      <c r="K193" s="124">
        <f t="shared" si="148"/>
        <v>0.4348728174629759</v>
      </c>
      <c r="L193" s="124">
        <f t="shared" si="148"/>
        <v>1.3489471293540056E-2</v>
      </c>
      <c r="M193" s="165">
        <f>IFERROR(MAX(MIN(AVERAGE(J193:L193),D44),D36),0)</f>
        <v>4.1600000000000005E-2</v>
      </c>
      <c r="N193" s="165">
        <f>MAX(MIN(M193,D44),D36)</f>
        <v>4.1600000000000005E-2</v>
      </c>
      <c r="O193" s="165">
        <f>MAX(MIN(N193,D44),D36)</f>
        <v>4.1600000000000005E-2</v>
      </c>
      <c r="P193" s="165">
        <f>MAX(MIN(O193,D44),D36)</f>
        <v>4.1600000000000005E-2</v>
      </c>
      <c r="Q193" s="166">
        <f>MAX(MIN(P193,D44),D36)</f>
        <v>4.1600000000000005E-2</v>
      </c>
      <c r="R193" s="127"/>
      <c r="S193" s="127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</row>
    <row r="194" spans="1:41" ht="15">
      <c r="A194" s="131"/>
      <c r="B194" s="146" t="s">
        <v>190</v>
      </c>
      <c r="C194" s="127" t="s">
        <v>31</v>
      </c>
      <c r="D194" s="124" t="str">
        <f t="shared" ref="D194:Q194" si="149">IFERROR(D192/D180,"")</f>
        <v/>
      </c>
      <c r="E194" s="124">
        <f t="shared" si="149"/>
        <v>0.39985504922493476</v>
      </c>
      <c r="F194" s="124">
        <f t="shared" si="149"/>
        <v>0.51480570847082796</v>
      </c>
      <c r="G194" s="124">
        <f t="shared" si="149"/>
        <v>0.56002728659840306</v>
      </c>
      <c r="H194" s="124">
        <f t="shared" si="149"/>
        <v>0.58964987249993828</v>
      </c>
      <c r="I194" s="124">
        <f t="shared" si="149"/>
        <v>0.33029846157054521</v>
      </c>
      <c r="J194" s="124">
        <f t="shared" si="149"/>
        <v>0.30227901714125144</v>
      </c>
      <c r="K194" s="124">
        <f t="shared" si="149"/>
        <v>0.34941735413065828</v>
      </c>
      <c r="L194" s="124">
        <f t="shared" si="149"/>
        <v>0.386324583959756</v>
      </c>
      <c r="M194" s="125">
        <f t="shared" si="149"/>
        <v>0.33196585187732186</v>
      </c>
      <c r="N194" s="125">
        <f t="shared" si="149"/>
        <v>0.33146867757399678</v>
      </c>
      <c r="O194" s="125">
        <f t="shared" si="149"/>
        <v>0.33108672365866759</v>
      </c>
      <c r="P194" s="125">
        <f t="shared" si="149"/>
        <v>0.33082777319477924</v>
      </c>
      <c r="Q194" s="147">
        <f t="shared" si="149"/>
        <v>0.33069730724597241</v>
      </c>
      <c r="R194" s="127"/>
      <c r="S194" s="127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</row>
    <row r="195" spans="1:41" ht="15">
      <c r="A195" s="131"/>
      <c r="B195" s="146"/>
      <c r="C195" s="127"/>
      <c r="D195" s="124"/>
      <c r="E195" s="124"/>
      <c r="F195" s="124"/>
      <c r="G195" s="124"/>
      <c r="H195" s="124"/>
      <c r="I195" s="124"/>
      <c r="J195" s="124"/>
      <c r="K195" s="124"/>
      <c r="L195" s="124"/>
      <c r="M195" s="125"/>
      <c r="N195" s="125"/>
      <c r="O195" s="125"/>
      <c r="P195" s="125"/>
      <c r="Q195" s="147"/>
      <c r="R195" s="127"/>
      <c r="S195" s="127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</row>
    <row r="196" spans="1:41" ht="15">
      <c r="A196" s="112"/>
      <c r="B196" s="143" t="s">
        <v>193</v>
      </c>
      <c r="C196" s="118" t="s">
        <v>28</v>
      </c>
      <c r="D196" s="119">
        <f>'Historical Dataset'!F109</f>
        <v>0</v>
      </c>
      <c r="E196" s="119">
        <f>'Historical Dataset'!G109</f>
        <v>0</v>
      </c>
      <c r="F196" s="119">
        <f>'Historical Dataset'!H109</f>
        <v>-1434.364</v>
      </c>
      <c r="G196" s="119">
        <f>'Historical Dataset'!I109</f>
        <v>-3267.6869999999999</v>
      </c>
      <c r="H196" s="119">
        <f>'Historical Dataset'!J109</f>
        <v>-354.19</v>
      </c>
      <c r="I196" s="119">
        <f>'Historical Dataset'!K109</f>
        <v>831.91700000000003</v>
      </c>
      <c r="J196" s="119">
        <f>'Historical Dataset'!L109</f>
        <v>-2371.0880000000002</v>
      </c>
      <c r="K196" s="119">
        <f>'Historical Dataset'!M109</f>
        <v>-1178.489</v>
      </c>
      <c r="L196" s="119">
        <f>'Historical Dataset'!N109</f>
        <v>4433.1440000000002</v>
      </c>
      <c r="M196" s="148">
        <f>-M95*D45</f>
        <v>-2617.8323468847116</v>
      </c>
      <c r="N196" s="148">
        <f>-N95*D45</f>
        <v>-2807.0705843533219</v>
      </c>
      <c r="O196" s="148">
        <f>-O95*D45</f>
        <v>-2988.3013126799219</v>
      </c>
      <c r="P196" s="148">
        <f>-P95*D45</f>
        <v>-3158.2198690414184</v>
      </c>
      <c r="Q196" s="149">
        <f>-Q95*D45</f>
        <v>-3313.5629367030442</v>
      </c>
      <c r="R196" s="121"/>
      <c r="S196" s="12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</row>
    <row r="197" spans="1:41" ht="15">
      <c r="A197" s="131"/>
      <c r="B197" s="146" t="s">
        <v>123</v>
      </c>
      <c r="C197" s="127" t="s">
        <v>31</v>
      </c>
      <c r="D197" s="124"/>
      <c r="E197" s="124" t="str">
        <f t="shared" ref="E197:Q197" si="150">IFERROR(E196/D196-1,"")</f>
        <v/>
      </c>
      <c r="F197" s="124" t="str">
        <f t="shared" si="150"/>
        <v/>
      </c>
      <c r="G197" s="124">
        <f t="shared" si="150"/>
        <v>1.2781434838018799</v>
      </c>
      <c r="H197" s="124">
        <f t="shared" si="150"/>
        <v>-0.8916083455973598</v>
      </c>
      <c r="I197" s="124">
        <f t="shared" si="150"/>
        <v>-3.3487873740083005</v>
      </c>
      <c r="J197" s="124">
        <f t="shared" si="150"/>
        <v>-3.8501497144546875</v>
      </c>
      <c r="K197" s="124">
        <f t="shared" si="150"/>
        <v>-0.50297542731438061</v>
      </c>
      <c r="L197" s="124">
        <f t="shared" si="150"/>
        <v>-4.7617186074710922</v>
      </c>
      <c r="M197" s="124">
        <f t="shared" si="150"/>
        <v>-1.5905137182290292</v>
      </c>
      <c r="N197" s="124">
        <f t="shared" si="150"/>
        <v>7.228814239911463E-2</v>
      </c>
      <c r="O197" s="124">
        <f t="shared" si="150"/>
        <v>6.4562227019435925E-2</v>
      </c>
      <c r="P197" s="124">
        <f t="shared" si="150"/>
        <v>5.6861252792849371E-2</v>
      </c>
      <c r="Q197" s="154">
        <f t="shared" si="150"/>
        <v>4.9186907214530118E-2</v>
      </c>
      <c r="R197" s="127"/>
      <c r="S197" s="127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</row>
    <row r="198" spans="1:41" ht="15">
      <c r="A198" s="131"/>
      <c r="B198" s="146" t="s">
        <v>190</v>
      </c>
      <c r="C198" s="127" t="s">
        <v>31</v>
      </c>
      <c r="D198" s="124" t="str">
        <f t="shared" ref="D198:Q198" si="151">IFERROR(D196/D180,"")</f>
        <v/>
      </c>
      <c r="E198" s="124">
        <f t="shared" si="151"/>
        <v>0</v>
      </c>
      <c r="F198" s="124">
        <f t="shared" si="151"/>
        <v>3.4947472464896087E-2</v>
      </c>
      <c r="G198" s="124">
        <f t="shared" si="151"/>
        <v>6.8312389197321743E-2</v>
      </c>
      <c r="H198" s="124">
        <f t="shared" si="151"/>
        <v>8.8856799411652036E-3</v>
      </c>
      <c r="I198" s="124">
        <f t="shared" si="151"/>
        <v>-2.3009411926685919E-2</v>
      </c>
      <c r="J198" s="124">
        <f t="shared" si="151"/>
        <v>6.3599046151640082E-2</v>
      </c>
      <c r="K198" s="124">
        <f t="shared" si="151"/>
        <v>2.5465459903043653E-2</v>
      </c>
      <c r="L198" s="124">
        <f t="shared" si="151"/>
        <v>-0.10450244766578748</v>
      </c>
      <c r="M198" s="125">
        <f t="shared" si="151"/>
        <v>5.0909232382282475E-2</v>
      </c>
      <c r="N198" s="125">
        <f t="shared" si="151"/>
        <v>5.2330654310212998E-2</v>
      </c>
      <c r="O198" s="125">
        <f t="shared" si="151"/>
        <v>5.3422661011035759E-2</v>
      </c>
      <c r="P198" s="125">
        <f t="shared" si="151"/>
        <v>5.4163000697051551E-2</v>
      </c>
      <c r="Q198" s="147">
        <f t="shared" si="151"/>
        <v>5.4536003000754847E-2</v>
      </c>
      <c r="R198" s="127"/>
      <c r="S198" s="127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</row>
    <row r="199" spans="1:41" ht="15">
      <c r="A199" s="102"/>
      <c r="B199" s="157"/>
      <c r="C199" s="56"/>
      <c r="D199" s="57"/>
      <c r="E199" s="57"/>
      <c r="F199" s="57"/>
      <c r="G199" s="57"/>
      <c r="H199" s="57"/>
      <c r="I199" s="57"/>
      <c r="J199" s="57"/>
      <c r="K199" s="57"/>
      <c r="L199" s="57"/>
      <c r="M199" s="58"/>
      <c r="N199" s="58"/>
      <c r="O199" s="58"/>
      <c r="P199" s="58"/>
      <c r="Q199" s="158"/>
      <c r="R199" s="121"/>
      <c r="S199" s="121"/>
    </row>
    <row r="200" spans="1:41" ht="15">
      <c r="A200" s="102"/>
      <c r="B200" s="195" t="s">
        <v>194</v>
      </c>
      <c r="C200" s="196"/>
      <c r="D200" s="134">
        <v>43100</v>
      </c>
      <c r="E200" s="134">
        <f t="shared" ref="E200:E201" si="152">EOMONTH(D200,12)</f>
        <v>43465</v>
      </c>
      <c r="F200" s="134">
        <f t="shared" ref="F200:F201" si="153">EOMONTH(E200,12)</f>
        <v>43830</v>
      </c>
      <c r="G200" s="134">
        <f t="shared" ref="G200:G201" si="154">EOMONTH(F200,12)</f>
        <v>44196</v>
      </c>
      <c r="H200" s="134">
        <f t="shared" ref="H200:H201" si="155">EOMONTH(G200,12)</f>
        <v>44561</v>
      </c>
      <c r="I200" s="134">
        <f t="shared" ref="I200:I201" si="156">EOMONTH(H200,12)</f>
        <v>44926</v>
      </c>
      <c r="J200" s="134">
        <f t="shared" ref="J200:J201" si="157">EOMONTH(I200,12)</f>
        <v>45291</v>
      </c>
      <c r="K200" s="134">
        <f t="shared" ref="K200:K201" si="158">EOMONTH(J200,12)</f>
        <v>45657</v>
      </c>
      <c r="L200" s="135">
        <f t="shared" ref="L200:L201" si="159">EOMONTH(K200,12)</f>
        <v>46022</v>
      </c>
      <c r="M200" s="140">
        <f t="shared" ref="M200:M201" si="160">EOMONTH(L200,12)</f>
        <v>46387</v>
      </c>
      <c r="N200" s="140">
        <f t="shared" ref="N200:N201" si="161">EOMONTH(M200,12)</f>
        <v>46752</v>
      </c>
      <c r="O200" s="140">
        <f t="shared" ref="O200:O201" si="162">EOMONTH(N200,12)</f>
        <v>47118</v>
      </c>
      <c r="P200" s="140">
        <f t="shared" ref="P200:P201" si="163">EOMONTH(O200,12)</f>
        <v>47483</v>
      </c>
      <c r="Q200" s="141">
        <f t="shared" ref="Q200:Q201" si="164">EOMONTH(P200,12)</f>
        <v>47848</v>
      </c>
      <c r="R200" s="127"/>
      <c r="S200" s="127"/>
    </row>
    <row r="201" spans="1:41" ht="15">
      <c r="A201" s="102"/>
      <c r="B201" s="183" t="s">
        <v>106</v>
      </c>
      <c r="C201" s="184" t="s">
        <v>19</v>
      </c>
      <c r="D201" s="19">
        <v>43100</v>
      </c>
      <c r="E201" s="19">
        <f t="shared" si="152"/>
        <v>43465</v>
      </c>
      <c r="F201" s="19">
        <f t="shared" si="153"/>
        <v>43830</v>
      </c>
      <c r="G201" s="19">
        <f t="shared" si="154"/>
        <v>44196</v>
      </c>
      <c r="H201" s="19">
        <f t="shared" si="155"/>
        <v>44561</v>
      </c>
      <c r="I201" s="19">
        <f t="shared" si="156"/>
        <v>44926</v>
      </c>
      <c r="J201" s="19">
        <f t="shared" si="157"/>
        <v>45291</v>
      </c>
      <c r="K201" s="106">
        <f t="shared" si="158"/>
        <v>45657</v>
      </c>
      <c r="L201" s="137">
        <f t="shared" si="159"/>
        <v>46022</v>
      </c>
      <c r="M201" s="186">
        <f t="shared" si="160"/>
        <v>46387</v>
      </c>
      <c r="N201" s="186">
        <f t="shared" si="161"/>
        <v>46752</v>
      </c>
      <c r="O201" s="186">
        <f t="shared" si="162"/>
        <v>47118</v>
      </c>
      <c r="P201" s="186">
        <f t="shared" si="163"/>
        <v>47483</v>
      </c>
      <c r="Q201" s="187">
        <f t="shared" si="164"/>
        <v>47848</v>
      </c>
      <c r="R201" s="121"/>
      <c r="S201" s="121"/>
    </row>
    <row r="202" spans="1:41" ht="15">
      <c r="A202" s="112"/>
      <c r="B202" s="143" t="s">
        <v>195</v>
      </c>
      <c r="C202" s="118" t="s">
        <v>28</v>
      </c>
      <c r="D202" s="119">
        <f>'Historical Dataset'!F88</f>
        <v>0</v>
      </c>
      <c r="E202" s="119">
        <f>E206+E210+E214+E218+E222+E226</f>
        <v>8971.509</v>
      </c>
      <c r="F202" s="119">
        <f>F206+F210+F214+F218+F222+F226</f>
        <v>8512.521999999999</v>
      </c>
      <c r="G202" s="119">
        <f>G206+G210+G214+G218+G222+G226</f>
        <v>7329.4290000000001</v>
      </c>
      <c r="H202" s="119">
        <f>H206+H210+H214+H218+H222+H226</f>
        <v>7031.0690000000004</v>
      </c>
      <c r="I202" s="119">
        <f>I206+I210+I214+I218+I222+I226</f>
        <v>6227.0079999999998</v>
      </c>
      <c r="J202" s="119">
        <f>J206+J210+J214+J218+J222+J226</f>
        <v>6737.4860000000008</v>
      </c>
      <c r="K202" s="119">
        <f>K206+K210+K214+K218+K222+K226</f>
        <v>7249.5209999999988</v>
      </c>
      <c r="L202" s="119">
        <f>L206+L210+L214+L218+L222+L226</f>
        <v>7266.5590000000002</v>
      </c>
      <c r="M202" s="144">
        <f>M206+M210+M214+M218+M222+M226</f>
        <v>7396.3598200000006</v>
      </c>
      <c r="N202" s="144">
        <f>N206+N210+N214+N218+N222+N226</f>
        <v>7518.913427550001</v>
      </c>
      <c r="O202" s="144">
        <f>O206+O210+O214+O218+O222+O226</f>
        <v>7633.3896382387502</v>
      </c>
      <c r="P202" s="144">
        <f>P206+P210+P214+P218+P222+P226</f>
        <v>7738.9939425991215</v>
      </c>
      <c r="Q202" s="145">
        <f>Q206+Q210+Q214+Q218+Q222+Q226</f>
        <v>7834.9765214511053</v>
      </c>
      <c r="R202" s="127"/>
      <c r="S202" s="127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</row>
    <row r="203" spans="1:41" ht="15">
      <c r="A203" s="132"/>
      <c r="B203" s="146" t="s">
        <v>123</v>
      </c>
      <c r="C203" s="122" t="s">
        <v>31</v>
      </c>
      <c r="D203" s="124"/>
      <c r="E203" s="124" t="str">
        <f t="shared" ref="E203:Q203" si="165">IFERROR(E202/D202-1,"")</f>
        <v/>
      </c>
      <c r="F203" s="124">
        <f t="shared" si="165"/>
        <v>-5.1160512685212822E-2</v>
      </c>
      <c r="G203" s="124">
        <f t="shared" si="165"/>
        <v>-0.13898266577167129</v>
      </c>
      <c r="H203" s="124">
        <f t="shared" si="165"/>
        <v>-4.0707127390141817E-2</v>
      </c>
      <c r="I203" s="124">
        <f t="shared" si="165"/>
        <v>-0.11435828605863496</v>
      </c>
      <c r="J203" s="124">
        <f t="shared" si="165"/>
        <v>8.1978054307943804E-2</v>
      </c>
      <c r="K203" s="124">
        <f t="shared" si="165"/>
        <v>7.5997931572696187E-2</v>
      </c>
      <c r="L203" s="124">
        <f t="shared" si="165"/>
        <v>2.3502242424018327E-3</v>
      </c>
      <c r="M203" s="124">
        <f t="shared" si="165"/>
        <v>1.7862762829008894E-2</v>
      </c>
      <c r="N203" s="124">
        <f t="shared" si="165"/>
        <v>1.6569449098272848E-2</v>
      </c>
      <c r="O203" s="124">
        <f t="shared" si="165"/>
        <v>1.5225100247769463E-2</v>
      </c>
      <c r="P203" s="124">
        <f t="shared" si="165"/>
        <v>1.383452297932708E-2</v>
      </c>
      <c r="Q203" s="154">
        <f t="shared" si="165"/>
        <v>1.2402462072447218E-2</v>
      </c>
      <c r="R203" s="121"/>
      <c r="S203" s="121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</row>
    <row r="204" spans="1:41" s="130" customFormat="1" ht="15">
      <c r="A204" s="131"/>
      <c r="B204" s="146" t="s">
        <v>196</v>
      </c>
      <c r="C204" s="127" t="s">
        <v>31</v>
      </c>
      <c r="D204" s="124">
        <f>IFERROR(D202/D95,"")</f>
        <v>0</v>
      </c>
      <c r="E204" s="124">
        <f>IFERROR(E202/E95,"")</f>
        <v>7.1507209296764782E-2</v>
      </c>
      <c r="F204" s="124">
        <f>IFERROR(F202/F95,"")</f>
        <v>6.3958720904022714E-2</v>
      </c>
      <c r="G204" s="124">
        <f>IFERROR(G202/G95,"")</f>
        <v>5.5001380769779153E-2</v>
      </c>
      <c r="H204" s="124">
        <f>IFERROR(H202/H95,"")</f>
        <v>4.8786212878157091E-2</v>
      </c>
      <c r="I204" s="124">
        <f>IFERROR(I202/I95,"")</f>
        <v>3.9573242497807491E-2</v>
      </c>
      <c r="J204" s="124">
        <f>IFERROR(J202/J95,"")</f>
        <v>3.5279598269921567E-2</v>
      </c>
      <c r="K204" s="124">
        <f>IFERROR(K202/K95,"")</f>
        <v>3.1366506146078055E-2</v>
      </c>
      <c r="L204" s="124">
        <f>IFERROR(L202/L95,"")</f>
        <v>3.3137661662501594E-2</v>
      </c>
      <c r="M204" s="125">
        <f>IFERROR(M202/M95,"")</f>
        <v>3.1229976136773741E-2</v>
      </c>
      <c r="N204" s="125">
        <f>IFERROR(N202/N95,"")</f>
        <v>2.9607190811306788E-2</v>
      </c>
      <c r="O204" s="125">
        <f>IFERROR(O202/O95,"")</f>
        <v>2.823504582124817E-2</v>
      </c>
      <c r="P204" s="125">
        <f>IFERROR(P202/P95,"")</f>
        <v>2.7085546126171939E-2</v>
      </c>
      <c r="Q204" s="147">
        <f>IFERROR(Q202/Q95,"")</f>
        <v>2.6135928113622902E-2</v>
      </c>
      <c r="R204" s="127"/>
      <c r="S204" s="127"/>
    </row>
    <row r="205" spans="1:41" ht="15.75" customHeight="1">
      <c r="A205" s="102"/>
      <c r="B205" s="157"/>
      <c r="C205" s="56"/>
      <c r="D205" s="87"/>
      <c r="E205" s="87"/>
      <c r="F205" s="87"/>
      <c r="G205" s="87"/>
      <c r="H205" s="87"/>
      <c r="I205" s="87"/>
      <c r="J205" s="87"/>
      <c r="K205" s="87"/>
      <c r="L205" s="87"/>
      <c r="M205" s="88"/>
      <c r="N205" s="88"/>
      <c r="O205" s="88"/>
      <c r="P205" s="88"/>
      <c r="Q205" s="153"/>
      <c r="R205" s="121"/>
      <c r="S205" s="121"/>
    </row>
    <row r="206" spans="1:41" ht="15">
      <c r="A206" s="112"/>
      <c r="B206" s="143" t="s">
        <v>197</v>
      </c>
      <c r="C206" s="118" t="s">
        <v>28</v>
      </c>
      <c r="D206" s="119">
        <f>'Historical Dataset'!F81</f>
        <v>0</v>
      </c>
      <c r="E206" s="119">
        <f>'Historical Dataset'!G81</f>
        <v>6837.1040000000003</v>
      </c>
      <c r="F206" s="119">
        <f>'Historical Dataset'!H81</f>
        <v>6438.5290000000005</v>
      </c>
      <c r="G206" s="119">
        <f>'Historical Dataset'!I81</f>
        <v>5517.8209999999999</v>
      </c>
      <c r="H206" s="119">
        <f>'Historical Dataset'!J81</f>
        <v>4769.0690000000004</v>
      </c>
      <c r="I206" s="119">
        <f>'Historical Dataset'!K81</f>
        <v>3807.7139999999999</v>
      </c>
      <c r="J206" s="119">
        <f>'Historical Dataset'!L81</f>
        <v>3576.5129999999999</v>
      </c>
      <c r="K206" s="119">
        <f>'Historical Dataset'!M81</f>
        <v>3675.5839999999998</v>
      </c>
      <c r="L206" s="119">
        <f>'Historical Dataset'!N81</f>
        <v>2804.165</v>
      </c>
      <c r="M206" s="148">
        <f>L206*(1+M207)</f>
        <v>2804.165</v>
      </c>
      <c r="N206" s="148">
        <f>M206*(1+N207)</f>
        <v>2804.165</v>
      </c>
      <c r="O206" s="148">
        <f>N206*(1+O207)</f>
        <v>2804.165</v>
      </c>
      <c r="P206" s="148">
        <f>O206*(1+P207)</f>
        <v>2804.165</v>
      </c>
      <c r="Q206" s="149">
        <f>P206*(1+Q207)</f>
        <v>2804.165</v>
      </c>
      <c r="R206" s="127"/>
      <c r="S206" s="127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</row>
    <row r="207" spans="1:41" ht="15">
      <c r="A207" s="131"/>
      <c r="B207" s="146" t="s">
        <v>123</v>
      </c>
      <c r="C207" s="127" t="s">
        <v>31</v>
      </c>
      <c r="D207" s="124"/>
      <c r="E207" s="124" t="str">
        <f t="shared" ref="E207:L207" si="166">IFERROR(E206/D206-1,"")</f>
        <v/>
      </c>
      <c r="F207" s="124">
        <f t="shared" si="166"/>
        <v>-5.8295880829076108E-2</v>
      </c>
      <c r="G207" s="124">
        <f t="shared" si="166"/>
        <v>-0.14299974419622874</v>
      </c>
      <c r="H207" s="124">
        <f t="shared" si="166"/>
        <v>-0.13569704417740258</v>
      </c>
      <c r="I207" s="124">
        <f t="shared" si="166"/>
        <v>-0.20158127299059847</v>
      </c>
      <c r="J207" s="124">
        <f t="shared" si="166"/>
        <v>-6.0719108630532648E-2</v>
      </c>
      <c r="K207" s="124">
        <f t="shared" si="166"/>
        <v>2.7700444539136226E-2</v>
      </c>
      <c r="L207" s="124">
        <f t="shared" si="166"/>
        <v>-0.23708314107363615</v>
      </c>
      <c r="M207" s="165">
        <f>IFERROR(MAX(MIN(AVERAGE(J207:L207),D37),D36),0)</f>
        <v>0</v>
      </c>
      <c r="N207" s="165">
        <f>MAX(MIN(M207-D38,D37),D36)</f>
        <v>0</v>
      </c>
      <c r="O207" s="165">
        <f>MAX(MIN(N207-D38,D37),D36)</f>
        <v>0</v>
      </c>
      <c r="P207" s="165">
        <f>MAX(MIN(O207-D38,D37),D36)</f>
        <v>0</v>
      </c>
      <c r="Q207" s="166">
        <f>MAX(MIN(P207-D38,D37),D36)</f>
        <v>0</v>
      </c>
      <c r="R207" s="121"/>
      <c r="S207" s="121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</row>
    <row r="208" spans="1:41" ht="15">
      <c r="A208" s="131"/>
      <c r="B208" s="146" t="s">
        <v>198</v>
      </c>
      <c r="C208" s="127" t="s">
        <v>31</v>
      </c>
      <c r="D208" s="124" t="str">
        <f>IFERROR(D206/D202,"")</f>
        <v/>
      </c>
      <c r="E208" s="124">
        <f>IFERROR(E206/E202,"")</f>
        <v>0.76209074749855354</v>
      </c>
      <c r="F208" s="124">
        <f>IFERROR(F206/F202,"")</f>
        <v>0.75635974861504041</v>
      </c>
      <c r="G208" s="124">
        <f>IFERROR(G206/G202,"")</f>
        <v>0.75283095040555004</v>
      </c>
      <c r="H208" s="124">
        <f>IFERROR(H206/H202,"")</f>
        <v>0.67828505167564135</v>
      </c>
      <c r="I208" s="124">
        <f>IFERROR(I206/I202,"")</f>
        <v>0.61148371738080309</v>
      </c>
      <c r="J208" s="124">
        <f>IFERROR(J206/J202,"")</f>
        <v>0.53083791194519725</v>
      </c>
      <c r="K208" s="124">
        <f>IFERROR(K206/K202,"")</f>
        <v>0.50701060111419782</v>
      </c>
      <c r="L208" s="124">
        <f>IFERROR(L206/L202,"")</f>
        <v>0.38589998374746559</v>
      </c>
      <c r="M208" s="125">
        <f>IFERROR(M206/M202,"")</f>
        <v>0.37912771528738304</v>
      </c>
      <c r="N208" s="125">
        <f>IFERROR(N206/N202,"")</f>
        <v>0.37294816957531091</v>
      </c>
      <c r="O208" s="125">
        <f>IFERROR(O206/O202,"")</f>
        <v>0.36735515058117801</v>
      </c>
      <c r="P208" s="125">
        <f>IFERROR(P206/P202,"")</f>
        <v>0.36234231746384182</v>
      </c>
      <c r="Q208" s="147">
        <f>IFERROR(Q206/Q202,"")</f>
        <v>0.3579034337017572</v>
      </c>
      <c r="R208" s="127"/>
      <c r="S208" s="127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</row>
    <row r="209" spans="1:41" ht="15">
      <c r="A209" s="131"/>
      <c r="B209" s="146"/>
      <c r="C209" s="127"/>
      <c r="D209" s="124"/>
      <c r="E209" s="124"/>
      <c r="F209" s="124"/>
      <c r="G209" s="124"/>
      <c r="H209" s="124"/>
      <c r="I209" s="124"/>
      <c r="J209" s="124"/>
      <c r="K209" s="124"/>
      <c r="L209" s="124"/>
      <c r="M209" s="125"/>
      <c r="N209" s="125"/>
      <c r="O209" s="125"/>
      <c r="P209" s="125"/>
      <c r="Q209" s="147"/>
      <c r="R209" s="121"/>
      <c r="S209" s="121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</row>
    <row r="210" spans="1:41" ht="15">
      <c r="A210" s="112"/>
      <c r="B210" s="143" t="s">
        <v>199</v>
      </c>
      <c r="C210" s="118" t="s">
        <v>28</v>
      </c>
      <c r="D210" s="119">
        <f>'Historical Dataset'!F82</f>
        <v>0</v>
      </c>
      <c r="E210" s="119">
        <f>'Historical Dataset'!G82</f>
        <v>450.62400000000002</v>
      </c>
      <c r="F210" s="119">
        <f>'Historical Dataset'!H82</f>
        <v>492.86500000000001</v>
      </c>
      <c r="G210" s="119">
        <f>'Historical Dataset'!I82</f>
        <v>524.40700000000004</v>
      </c>
      <c r="H210" s="119">
        <f>'Historical Dataset'!J82</f>
        <v>643.02099999999996</v>
      </c>
      <c r="I210" s="119">
        <f>'Historical Dataset'!K82</f>
        <v>700.76700000000005</v>
      </c>
      <c r="J210" s="119">
        <f>'Historical Dataset'!L82</f>
        <v>812.35699999999997</v>
      </c>
      <c r="K210" s="119">
        <f>'Historical Dataset'!M82</f>
        <v>939.53</v>
      </c>
      <c r="L210" s="119">
        <f>'Historical Dataset'!N82</f>
        <v>935.87300000000005</v>
      </c>
      <c r="M210" s="148">
        <f>L210*(1+M211)</f>
        <v>963.94919000000004</v>
      </c>
      <c r="N210" s="148">
        <f>M210*(1+N211)</f>
        <v>990.4577927250001</v>
      </c>
      <c r="O210" s="148">
        <f>N210*(1+O211)</f>
        <v>1015.219237543125</v>
      </c>
      <c r="P210" s="148">
        <f>O210*(1+P211)</f>
        <v>1038.0616703878452</v>
      </c>
      <c r="Q210" s="149">
        <f>P210*(1+Q211)</f>
        <v>1058.8229037956021</v>
      </c>
      <c r="R210" s="127"/>
      <c r="S210" s="127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</row>
    <row r="211" spans="1:41" ht="15">
      <c r="A211" s="131"/>
      <c r="B211" s="146" t="s">
        <v>123</v>
      </c>
      <c r="C211" s="127" t="s">
        <v>31</v>
      </c>
      <c r="D211" s="124"/>
      <c r="E211" s="124" t="str">
        <f t="shared" ref="E211:L211" si="167">IFERROR(E210/D210-1,"")</f>
        <v/>
      </c>
      <c r="F211" s="124">
        <f t="shared" si="167"/>
        <v>9.373890427496101E-2</v>
      </c>
      <c r="G211" s="124">
        <f t="shared" si="167"/>
        <v>6.3997240623700158E-2</v>
      </c>
      <c r="H211" s="124">
        <f t="shared" si="167"/>
        <v>0.22618691207401875</v>
      </c>
      <c r="I211" s="124">
        <f t="shared" si="167"/>
        <v>8.9804221012999674E-2</v>
      </c>
      <c r="J211" s="124">
        <f t="shared" si="167"/>
        <v>0.15923980438576568</v>
      </c>
      <c r="K211" s="124">
        <f t="shared" si="167"/>
        <v>0.15654816786215919</v>
      </c>
      <c r="L211" s="124">
        <f t="shared" si="167"/>
        <v>-3.8923717177736794E-3</v>
      </c>
      <c r="M211" s="165">
        <f>IFERROR(MAX(MIN(AVERAGE(J211:L211),D37),D36),0)</f>
        <v>0.03</v>
      </c>
      <c r="N211" s="165">
        <f>MAX(MIN(M211-D38,D37),D36)</f>
        <v>2.75E-2</v>
      </c>
      <c r="O211" s="165">
        <f>MAX(MIN(N211-D38,D37),D36)</f>
        <v>2.5000000000000001E-2</v>
      </c>
      <c r="P211" s="165">
        <f>MAX(MIN(O211-D38,D37),D36)</f>
        <v>2.2500000000000003E-2</v>
      </c>
      <c r="Q211" s="166">
        <f>MAX(MIN(P211-D38,D37),D36)</f>
        <v>2.0000000000000004E-2</v>
      </c>
      <c r="R211" s="121"/>
      <c r="S211" s="121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</row>
    <row r="212" spans="1:41" ht="15">
      <c r="A212" s="131"/>
      <c r="B212" s="146" t="s">
        <v>198</v>
      </c>
      <c r="C212" s="127" t="s">
        <v>31</v>
      </c>
      <c r="D212" s="124" t="str">
        <f>IFERROR(D210/D202,"")</f>
        <v/>
      </c>
      <c r="E212" s="124">
        <f>IFERROR(E210/E202,"")</f>
        <v>5.0228339513453089E-2</v>
      </c>
      <c r="F212" s="124">
        <f>IFERROR(F210/F202,"")</f>
        <v>5.7898822464129911E-2</v>
      </c>
      <c r="G212" s="124">
        <f>IFERROR(G210/G202,"")</f>
        <v>7.1548138333832015E-2</v>
      </c>
      <c r="H212" s="124">
        <f>IFERROR(H210/H202,"")</f>
        <v>9.1454229790661978E-2</v>
      </c>
      <c r="I212" s="124">
        <f>IFERROR(I210/I202,"")</f>
        <v>0.11253671104967267</v>
      </c>
      <c r="J212" s="124">
        <f>IFERROR(J210/J202,"")</f>
        <v>0.12057271807318039</v>
      </c>
      <c r="K212" s="124">
        <f>IFERROR(K210/K202,"")</f>
        <v>0.12959890729332327</v>
      </c>
      <c r="L212" s="124">
        <f>IFERROR(L210/L202,"")</f>
        <v>0.12879177063036301</v>
      </c>
      <c r="M212" s="125">
        <f>IFERROR(M210/M202,"")</f>
        <v>0.13032751427174347</v>
      </c>
      <c r="N212" s="125">
        <f>IFERROR(N210/N202,"")</f>
        <v>0.13172884649740349</v>
      </c>
      <c r="O212" s="125">
        <f>IFERROR(O210/O202,"")</f>
        <v>0.13299717237771794</v>
      </c>
      <c r="P212" s="125">
        <f>IFERROR(P210/P202,"")</f>
        <v>0.13413392982178957</v>
      </c>
      <c r="Q212" s="147">
        <f>IFERROR(Q210/Q202,"")</f>
        <v>0.13514053308222282</v>
      </c>
      <c r="R212" s="127"/>
      <c r="S212" s="127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</row>
    <row r="213" spans="1:41" ht="15">
      <c r="A213" s="131"/>
      <c r="B213" s="146"/>
      <c r="C213" s="127"/>
      <c r="D213" s="124"/>
      <c r="E213" s="124"/>
      <c r="F213" s="124"/>
      <c r="G213" s="124"/>
      <c r="H213" s="124"/>
      <c r="I213" s="124"/>
      <c r="J213" s="124"/>
      <c r="K213" s="124"/>
      <c r="L213" s="124"/>
      <c r="M213" s="125"/>
      <c r="N213" s="125"/>
      <c r="O213" s="125"/>
      <c r="P213" s="125"/>
      <c r="Q213" s="147"/>
      <c r="R213" s="121"/>
      <c r="S213" s="121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</row>
    <row r="214" spans="1:41" ht="15">
      <c r="A214" s="112"/>
      <c r="B214" s="143" t="s">
        <v>200</v>
      </c>
      <c r="C214" s="118" t="s">
        <v>28</v>
      </c>
      <c r="D214" s="119">
        <f>'Historical Dataset'!F83</f>
        <v>0</v>
      </c>
      <c r="E214" s="119">
        <f>'Historical Dataset'!G83</f>
        <v>1019.955</v>
      </c>
      <c r="F214" s="119">
        <f>'Historical Dataset'!H83</f>
        <v>1156.202</v>
      </c>
      <c r="G214" s="119">
        <f>'Historical Dataset'!I83</f>
        <v>727.74099999999999</v>
      </c>
      <c r="H214" s="119">
        <f>'Historical Dataset'!J83</f>
        <v>744.78800000000001</v>
      </c>
      <c r="I214" s="119">
        <f>'Historical Dataset'!K83</f>
        <v>637.95000000000005</v>
      </c>
      <c r="J214" s="119">
        <f>'Historical Dataset'!L83</f>
        <v>1081.0509999999999</v>
      </c>
      <c r="K214" s="119">
        <f>'Historical Dataset'!M83</f>
        <v>1322.7819999999999</v>
      </c>
      <c r="L214" s="119">
        <f>'Historical Dataset'!N83</f>
        <v>2339.5970000000002</v>
      </c>
      <c r="M214" s="148">
        <f>L214*(1+M215)</f>
        <v>2409.7849100000003</v>
      </c>
      <c r="N214" s="148">
        <f>M214*(1+N215)</f>
        <v>2476.0539950250004</v>
      </c>
      <c r="O214" s="148">
        <f>N214*(1+O215)</f>
        <v>2537.9553449006253</v>
      </c>
      <c r="P214" s="148">
        <f>O214*(1+P215)</f>
        <v>2595.0593401608894</v>
      </c>
      <c r="Q214" s="149">
        <f>P214*(1+Q215)</f>
        <v>2646.9605269641074</v>
      </c>
      <c r="R214" s="127"/>
      <c r="S214" s="127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</row>
    <row r="215" spans="1:41" ht="15">
      <c r="A215" s="131"/>
      <c r="B215" s="146" t="s">
        <v>123</v>
      </c>
      <c r="C215" s="127" t="s">
        <v>31</v>
      </c>
      <c r="D215" s="124"/>
      <c r="E215" s="124" t="str">
        <f t="shared" ref="E215:L215" si="168">IFERROR(E214/D214-1,"")</f>
        <v/>
      </c>
      <c r="F215" s="124">
        <f t="shared" si="168"/>
        <v>0.13358138349240889</v>
      </c>
      <c r="G215" s="124">
        <f t="shared" si="168"/>
        <v>-0.3705762487869767</v>
      </c>
      <c r="H215" s="124">
        <f t="shared" si="168"/>
        <v>2.3424542522683334E-2</v>
      </c>
      <c r="I215" s="124">
        <f t="shared" si="168"/>
        <v>-0.14344753137805655</v>
      </c>
      <c r="J215" s="124">
        <f t="shared" si="168"/>
        <v>0.69457010737518599</v>
      </c>
      <c r="K215" s="124">
        <f t="shared" si="168"/>
        <v>0.2236073968758181</v>
      </c>
      <c r="L215" s="124">
        <f t="shared" si="168"/>
        <v>0.76869431244150621</v>
      </c>
      <c r="M215" s="165">
        <f>IFERROR(MAX(MIN(AVERAGE(J215:L215),D37),D36),0)</f>
        <v>0.03</v>
      </c>
      <c r="N215" s="165">
        <f>MAX(MIN(M215-D38,D37),D36)</f>
        <v>2.75E-2</v>
      </c>
      <c r="O215" s="165">
        <f>MAX(MIN(N215-D38,D37),D36)</f>
        <v>2.5000000000000001E-2</v>
      </c>
      <c r="P215" s="165">
        <f>MAX(MIN(O215-D38,D37),D36)</f>
        <v>2.2500000000000003E-2</v>
      </c>
      <c r="Q215" s="166">
        <f>MAX(MIN(P215-D38,D37),D36)</f>
        <v>2.0000000000000004E-2</v>
      </c>
      <c r="R215" s="121"/>
      <c r="S215" s="121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</row>
    <row r="216" spans="1:41" ht="15">
      <c r="A216" s="131"/>
      <c r="B216" s="146" t="s">
        <v>198</v>
      </c>
      <c r="C216" s="127" t="s">
        <v>31</v>
      </c>
      <c r="D216" s="124" t="str">
        <f>IFERROR(D214/D202,"")</f>
        <v/>
      </c>
      <c r="E216" s="124">
        <f>IFERROR(E214/E202,"")</f>
        <v>0.11368823238097404</v>
      </c>
      <c r="F216" s="124">
        <f>IFERROR(F214/F202,"")</f>
        <v>0.13582367246745444</v>
      </c>
      <c r="G216" s="124">
        <f>IFERROR(G214/G202,"")</f>
        <v>9.9290272134432297E-2</v>
      </c>
      <c r="H216" s="124">
        <f>IFERROR(H214/H202,"")</f>
        <v>0.10592813126993918</v>
      </c>
      <c r="I216" s="124">
        <f>IFERROR(I214/I202,"")</f>
        <v>0.10244888074658007</v>
      </c>
      <c r="J216" s="124">
        <f>IFERROR(J214/J202,"")</f>
        <v>0.16045317199916997</v>
      </c>
      <c r="K216" s="124">
        <f>IFERROR(K214/K202,"")</f>
        <v>0.18246474491211215</v>
      </c>
      <c r="L216" s="124">
        <f>IFERROR(L214/L202,"")</f>
        <v>0.32196766034652718</v>
      </c>
      <c r="M216" s="125">
        <f>IFERROR(M214/M202,"")</f>
        <v>0.32580687914666651</v>
      </c>
      <c r="N216" s="125">
        <f>IFERROR(N214/N202,"")</f>
        <v>0.32931008168713677</v>
      </c>
      <c r="O216" s="125">
        <f>IFERROR(O214/O202,"")</f>
        <v>0.33248078051550989</v>
      </c>
      <c r="P216" s="125">
        <f>IFERROR(P214/P202,"")</f>
        <v>0.33532257027317758</v>
      </c>
      <c r="Q216" s="147">
        <f>IFERROR(Q214/Q202,"")</f>
        <v>0.33783898646244664</v>
      </c>
      <c r="R216" s="127"/>
      <c r="S216" s="127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</row>
    <row r="217" spans="1:41" ht="15">
      <c r="A217" s="131"/>
      <c r="B217" s="146"/>
      <c r="C217" s="127"/>
      <c r="D217" s="124"/>
      <c r="E217" s="124"/>
      <c r="F217" s="124"/>
      <c r="G217" s="124"/>
      <c r="H217" s="124"/>
      <c r="I217" s="124"/>
      <c r="J217" s="124"/>
      <c r="K217" s="124"/>
      <c r="L217" s="124"/>
      <c r="M217" s="125"/>
      <c r="N217" s="125"/>
      <c r="O217" s="125"/>
      <c r="P217" s="125"/>
      <c r="Q217" s="147"/>
      <c r="R217" s="121"/>
      <c r="S217" s="121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</row>
    <row r="218" spans="1:41" ht="15">
      <c r="A218" s="112"/>
      <c r="B218" s="143" t="s">
        <v>201</v>
      </c>
      <c r="C218" s="118" t="s">
        <v>28</v>
      </c>
      <c r="D218" s="119">
        <f>'Historical Dataset'!F85</f>
        <v>0</v>
      </c>
      <c r="E218" s="119">
        <f>'Historical Dataset'!G85</f>
        <v>391.27300000000002</v>
      </c>
      <c r="F218" s="119">
        <f>'Historical Dataset'!H85</f>
        <v>128.66999999999999</v>
      </c>
      <c r="G218" s="119">
        <f>'Historical Dataset'!I85</f>
        <v>211.892</v>
      </c>
      <c r="H218" s="119">
        <f>'Historical Dataset'!J85</f>
        <v>223.47300000000001</v>
      </c>
      <c r="I218" s="119">
        <f>'Historical Dataset'!K85</f>
        <v>193.88900000000001</v>
      </c>
      <c r="J218" s="119">
        <f>'Historical Dataset'!L85</f>
        <v>180.233</v>
      </c>
      <c r="K218" s="119">
        <f>'Historical Dataset'!M85</f>
        <v>162.60599999999999</v>
      </c>
      <c r="L218" s="119">
        <f>'Historical Dataset'!N85</f>
        <v>135.69999999999999</v>
      </c>
      <c r="M218" s="148">
        <f>L218*(1+M219)</f>
        <v>135.69999999999999</v>
      </c>
      <c r="N218" s="148">
        <f>M218*(1+N219)</f>
        <v>135.69999999999999</v>
      </c>
      <c r="O218" s="148">
        <f>N218*(1+O219)</f>
        <v>135.69999999999999</v>
      </c>
      <c r="P218" s="148">
        <f>O218*(1+P219)</f>
        <v>135.69999999999999</v>
      </c>
      <c r="Q218" s="149">
        <f>P218*(1+Q219)</f>
        <v>135.69999999999999</v>
      </c>
      <c r="R218" s="127"/>
      <c r="S218" s="127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</row>
    <row r="219" spans="1:41" ht="15">
      <c r="A219" s="131"/>
      <c r="B219" s="146" t="s">
        <v>123</v>
      </c>
      <c r="C219" s="127" t="s">
        <v>31</v>
      </c>
      <c r="D219" s="124"/>
      <c r="E219" s="124" t="str">
        <f t="shared" ref="E219:L219" si="169">IFERROR(E218/D218-1,"")</f>
        <v/>
      </c>
      <c r="F219" s="124">
        <f t="shared" si="169"/>
        <v>-0.67115032215358594</v>
      </c>
      <c r="G219" s="124">
        <f t="shared" si="169"/>
        <v>0.64678635268516382</v>
      </c>
      <c r="H219" s="124">
        <f t="shared" si="169"/>
        <v>5.4655201706529821E-2</v>
      </c>
      <c r="I219" s="124">
        <f t="shared" si="169"/>
        <v>-0.13238288294335332</v>
      </c>
      <c r="J219" s="124">
        <f t="shared" si="169"/>
        <v>-7.0432051328337408E-2</v>
      </c>
      <c r="K219" s="124">
        <f t="shared" si="169"/>
        <v>-9.7801179584204978E-2</v>
      </c>
      <c r="L219" s="124">
        <f t="shared" si="169"/>
        <v>-0.16546744892562393</v>
      </c>
      <c r="M219" s="165">
        <f>IFERROR(MAX(MIN(AVERAGE(J219:L219),D37),D36),0)</f>
        <v>0</v>
      </c>
      <c r="N219" s="165">
        <f>MAX(MIN(M219-D38,D37),D36)</f>
        <v>0</v>
      </c>
      <c r="O219" s="165">
        <f>MAX(MIN(N219-D38,D37),D36)</f>
        <v>0</v>
      </c>
      <c r="P219" s="165">
        <f>MAX(MIN(O219-D38,D37),D36)</f>
        <v>0</v>
      </c>
      <c r="Q219" s="166">
        <f>MAX(MIN(P219-D38,D37),D36)</f>
        <v>0</v>
      </c>
      <c r="R219" s="121"/>
      <c r="S219" s="121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</row>
    <row r="220" spans="1:41" ht="15">
      <c r="A220" s="131"/>
      <c r="B220" s="146" t="s">
        <v>198</v>
      </c>
      <c r="C220" s="127" t="s">
        <v>31</v>
      </c>
      <c r="D220" s="124" t="str">
        <f>IFERROR(D218/D202,"")</f>
        <v/>
      </c>
      <c r="E220" s="124">
        <f>IFERROR(E218/E202,"")</f>
        <v>4.3612841496341363E-2</v>
      </c>
      <c r="F220" s="124">
        <f>IFERROR(F218/F202,"")</f>
        <v>1.5115379437492202E-2</v>
      </c>
      <c r="G220" s="124">
        <f>IFERROR(G218/G202,"")</f>
        <v>2.8909755452982761E-2</v>
      </c>
      <c r="H220" s="124">
        <f>IFERROR(H218/H202,"")</f>
        <v>3.1783644848315383E-2</v>
      </c>
      <c r="I220" s="124">
        <f>IFERROR(I218/I202,"")</f>
        <v>3.1136783508227388E-2</v>
      </c>
      <c r="J220" s="124">
        <f>IFERROR(J218/J202,"")</f>
        <v>2.6750779148186726E-2</v>
      </c>
      <c r="K220" s="124">
        <f>IFERROR(K218/K202,"")</f>
        <v>2.2429895713109875E-2</v>
      </c>
      <c r="L220" s="124">
        <f>IFERROR(L218/L202,"")</f>
        <v>1.8674588618904763E-2</v>
      </c>
      <c r="M220" s="125">
        <f>IFERROR(M218/M202,"")</f>
        <v>1.83468629572432E-2</v>
      </c>
      <c r="N220" s="125">
        <f>IFERROR(N218/N202,"")</f>
        <v>1.8047820513903315E-2</v>
      </c>
      <c r="O220" s="125">
        <f>IFERROR(O218/O202,"")</f>
        <v>1.7777161448725681E-2</v>
      </c>
      <c r="P220" s="125">
        <f>IFERROR(P218/P202,"")</f>
        <v>1.7534578913809756E-2</v>
      </c>
      <c r="Q220" s="147">
        <f>IFERROR(Q218/Q202,"")</f>
        <v>1.7319771109520463E-2</v>
      </c>
      <c r="R220" s="127"/>
      <c r="S220" s="127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</row>
    <row r="221" spans="1:41" ht="15">
      <c r="A221" s="131"/>
      <c r="B221" s="146"/>
      <c r="C221" s="127"/>
      <c r="D221" s="124"/>
      <c r="E221" s="124"/>
      <c r="F221" s="124"/>
      <c r="G221" s="124"/>
      <c r="H221" s="124"/>
      <c r="I221" s="124"/>
      <c r="J221" s="124"/>
      <c r="K221" s="124"/>
      <c r="L221" s="124"/>
      <c r="M221" s="125"/>
      <c r="N221" s="125"/>
      <c r="O221" s="125"/>
      <c r="P221" s="125"/>
      <c r="Q221" s="147"/>
      <c r="R221" s="127"/>
      <c r="S221" s="121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</row>
    <row r="222" spans="1:41" ht="15">
      <c r="A222" s="112"/>
      <c r="B222" s="143" t="s">
        <v>202</v>
      </c>
      <c r="C222" s="118" t="s">
        <v>28</v>
      </c>
      <c r="D222" s="119">
        <f>'Historical Dataset'!F86</f>
        <v>0</v>
      </c>
      <c r="E222" s="119">
        <f>'Historical Dataset'!G86</f>
        <v>143.93600000000001</v>
      </c>
      <c r="F222" s="119">
        <f>'Historical Dataset'!H86</f>
        <v>194.52600000000001</v>
      </c>
      <c r="G222" s="119">
        <f>'Historical Dataset'!I86</f>
        <v>252.393</v>
      </c>
      <c r="H222" s="119">
        <f>'Historical Dataset'!J86</f>
        <v>552.51400000000001</v>
      </c>
      <c r="I222" s="119">
        <f>'Historical Dataset'!K86</f>
        <v>779.66300000000001</v>
      </c>
      <c r="J222" s="119">
        <f>'Historical Dataset'!L86</f>
        <v>961.73400000000004</v>
      </c>
      <c r="K222" s="119">
        <f>'Historical Dataset'!M86</f>
        <v>1004.351</v>
      </c>
      <c r="L222" s="119">
        <f>'Historical Dataset'!N86</f>
        <v>930.60699999999997</v>
      </c>
      <c r="M222" s="148">
        <f>L222*(1+M223)</f>
        <v>958.52521000000002</v>
      </c>
      <c r="N222" s="148">
        <f>M222*(1+N223)</f>
        <v>984.88465327500012</v>
      </c>
      <c r="O222" s="148">
        <f>N222*(1+O223)</f>
        <v>1009.5067696068751</v>
      </c>
      <c r="P222" s="148">
        <f>O222*(1+P223)</f>
        <v>1032.2206719230298</v>
      </c>
      <c r="Q222" s="149">
        <f>P222*(1+Q223)</f>
        <v>1052.8650853614904</v>
      </c>
      <c r="R222" s="121"/>
      <c r="S222" s="127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</row>
    <row r="223" spans="1:41" ht="15">
      <c r="A223" s="131"/>
      <c r="B223" s="146" t="s">
        <v>123</v>
      </c>
      <c r="C223" s="127" t="s">
        <v>31</v>
      </c>
      <c r="D223" s="124"/>
      <c r="E223" s="124" t="str">
        <f t="shared" ref="E223:L223" si="170">IFERROR(E222/D222-1,"")</f>
        <v/>
      </c>
      <c r="F223" s="124">
        <f t="shared" si="170"/>
        <v>0.3514756558470431</v>
      </c>
      <c r="G223" s="124">
        <f t="shared" si="170"/>
        <v>0.29747694395607782</v>
      </c>
      <c r="H223" s="124">
        <f t="shared" si="170"/>
        <v>1.1891019164556864</v>
      </c>
      <c r="I223" s="124">
        <f t="shared" si="170"/>
        <v>0.41111899426982834</v>
      </c>
      <c r="J223" s="124">
        <f t="shared" si="170"/>
        <v>0.23352525385968037</v>
      </c>
      <c r="K223" s="124">
        <f t="shared" si="170"/>
        <v>4.4312668575718472E-2</v>
      </c>
      <c r="L223" s="124">
        <f t="shared" si="170"/>
        <v>-7.3424529870533384E-2</v>
      </c>
      <c r="M223" s="165">
        <f>IFERROR(MAX(MIN(AVERAGE(J223:L223),D37),D36),0)</f>
        <v>0.03</v>
      </c>
      <c r="N223" s="165">
        <f>MAX(MIN(M223-D38,D37),D36)</f>
        <v>2.75E-2</v>
      </c>
      <c r="O223" s="165">
        <f>MAX(MIN(N223-D38,D37),D36)</f>
        <v>2.5000000000000001E-2</v>
      </c>
      <c r="P223" s="165">
        <f>MAX(MIN(O223-D38,D37),D36)</f>
        <v>2.2500000000000003E-2</v>
      </c>
      <c r="Q223" s="166">
        <f>MAX(MIN(P223-D38,D37),D36)</f>
        <v>2.0000000000000004E-2</v>
      </c>
      <c r="R223" s="127"/>
      <c r="S223" s="121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</row>
    <row r="224" spans="1:41" ht="15">
      <c r="A224" s="131"/>
      <c r="B224" s="146" t="s">
        <v>198</v>
      </c>
      <c r="C224" s="127" t="s">
        <v>31</v>
      </c>
      <c r="D224" s="124" t="str">
        <f>IFERROR(D222/D202,"")</f>
        <v/>
      </c>
      <c r="E224" s="124">
        <f>IFERROR(E222/E202,"")</f>
        <v>1.60436778249902E-2</v>
      </c>
      <c r="F224" s="124">
        <f>IFERROR(F222/F202,"")</f>
        <v>2.2851747108553731E-2</v>
      </c>
      <c r="G224" s="124">
        <f>IFERROR(G222/G202,"")</f>
        <v>3.4435561078496019E-2</v>
      </c>
      <c r="H224" s="124">
        <f>IFERROR(H222/H202,"")</f>
        <v>7.8581791758834965E-2</v>
      </c>
      <c r="I224" s="124">
        <f>IFERROR(I222/I202,"")</f>
        <v>0.12520668031902321</v>
      </c>
      <c r="J224" s="124">
        <f>IFERROR(J222/J202,"")</f>
        <v>0.14274374744526369</v>
      </c>
      <c r="K224" s="124">
        <f>IFERROR(K222/K202,"")</f>
        <v>0.13854032562978991</v>
      </c>
      <c r="L224" s="124">
        <f>IFERROR(L222/L202,"")</f>
        <v>0.12806708099390646</v>
      </c>
      <c r="M224" s="125">
        <f>IFERROR(M222/M202,"")</f>
        <v>0.12959418326405867</v>
      </c>
      <c r="N224" s="125">
        <f>IFERROR(N222/N202,"")</f>
        <v>0.13098763042892483</v>
      </c>
      <c r="O224" s="125">
        <f>IFERROR(O222/O202,"")</f>
        <v>0.13224881965278512</v>
      </c>
      <c r="P224" s="125">
        <f>IFERROR(P222/P202,"")</f>
        <v>0.13337918075386956</v>
      </c>
      <c r="Q224" s="147">
        <f>IFERROR(Q222/Q202,"")</f>
        <v>0.13438012002702093</v>
      </c>
      <c r="R224" s="127"/>
      <c r="S224" s="121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</row>
    <row r="225" spans="1:41" ht="15">
      <c r="A225" s="131"/>
      <c r="B225" s="146"/>
      <c r="C225" s="127"/>
      <c r="D225" s="124"/>
      <c r="E225" s="124"/>
      <c r="F225" s="124"/>
      <c r="G225" s="124"/>
      <c r="H225" s="124"/>
      <c r="I225" s="124"/>
      <c r="J225" s="124"/>
      <c r="K225" s="124"/>
      <c r="L225" s="124"/>
      <c r="M225" s="125"/>
      <c r="N225" s="125"/>
      <c r="O225" s="125"/>
      <c r="P225" s="125"/>
      <c r="Q225" s="147"/>
      <c r="R225" s="59"/>
      <c r="S225" s="121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</row>
    <row r="226" spans="1:41" ht="15">
      <c r="A226" s="112"/>
      <c r="B226" s="143" t="s">
        <v>203</v>
      </c>
      <c r="C226" s="118" t="s">
        <v>28</v>
      </c>
      <c r="D226" s="119">
        <f>'Historical Dataset'!F87</f>
        <v>0</v>
      </c>
      <c r="E226" s="119">
        <f>'Historical Dataset'!G87</f>
        <v>128.61699999999999</v>
      </c>
      <c r="F226" s="119">
        <f>'Historical Dataset'!H87</f>
        <v>101.73</v>
      </c>
      <c r="G226" s="119">
        <f>'Historical Dataset'!I87</f>
        <v>95.174999999999997</v>
      </c>
      <c r="H226" s="119">
        <f>'Historical Dataset'!J87</f>
        <v>98.203999999999994</v>
      </c>
      <c r="I226" s="119">
        <f>'Historical Dataset'!K87</f>
        <v>107.02500000000001</v>
      </c>
      <c r="J226" s="119">
        <f>'Historical Dataset'!L87</f>
        <v>125.598</v>
      </c>
      <c r="K226" s="119">
        <f>'Historical Dataset'!M87</f>
        <v>144.66800000000001</v>
      </c>
      <c r="L226" s="119">
        <f>'Historical Dataset'!N87</f>
        <v>120.617</v>
      </c>
      <c r="M226" s="148">
        <f>L226*(1+M227)</f>
        <v>124.23551</v>
      </c>
      <c r="N226" s="148">
        <f>M226*(1+N227)</f>
        <v>127.65198652500001</v>
      </c>
      <c r="O226" s="148">
        <f>N226*(1+O227)</f>
        <v>130.84328618812501</v>
      </c>
      <c r="P226" s="148">
        <f>O226*(1+P227)</f>
        <v>133.78726012735783</v>
      </c>
      <c r="Q226" s="149">
        <f>P226*(1+Q227)</f>
        <v>136.46300532990497</v>
      </c>
      <c r="R226" s="121"/>
      <c r="S226" s="12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</row>
    <row r="227" spans="1:41" ht="15">
      <c r="A227" s="131"/>
      <c r="B227" s="146" t="s">
        <v>123</v>
      </c>
      <c r="C227" s="127" t="s">
        <v>31</v>
      </c>
      <c r="D227" s="124"/>
      <c r="E227" s="124" t="str">
        <f t="shared" ref="E227:L227" si="171">IFERROR(E226/D226-1,"")</f>
        <v/>
      </c>
      <c r="F227" s="124">
        <f t="shared" si="171"/>
        <v>-0.2090470155578189</v>
      </c>
      <c r="G227" s="124">
        <f t="shared" si="171"/>
        <v>-6.443526983190806E-2</v>
      </c>
      <c r="H227" s="124">
        <f t="shared" si="171"/>
        <v>3.1825584449697963E-2</v>
      </c>
      <c r="I227" s="124">
        <f t="shared" si="171"/>
        <v>8.9823225123212946E-2</v>
      </c>
      <c r="J227" s="124">
        <f t="shared" si="171"/>
        <v>0.17353889278206025</v>
      </c>
      <c r="K227" s="124">
        <f t="shared" si="171"/>
        <v>0.15183362792401156</v>
      </c>
      <c r="L227" s="124">
        <f t="shared" si="171"/>
        <v>-0.16624961981917219</v>
      </c>
      <c r="M227" s="165">
        <f>IFERROR(MAX(MIN(AVERAGE(J227:L227),D37),D36),0)</f>
        <v>0.03</v>
      </c>
      <c r="N227" s="165">
        <f>MAX(MIN(M227-D38,D37),D36)</f>
        <v>2.75E-2</v>
      </c>
      <c r="O227" s="165">
        <f>MAX(MIN(N227-D38,D37),D36)</f>
        <v>2.5000000000000001E-2</v>
      </c>
      <c r="P227" s="165">
        <f>MAX(MIN(O227-D38,D37),D36)</f>
        <v>2.2500000000000003E-2</v>
      </c>
      <c r="Q227" s="166">
        <f>MAX(MIN(P227-D38,D37),D36)</f>
        <v>2.0000000000000004E-2</v>
      </c>
      <c r="R227" s="127"/>
      <c r="S227" s="121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</row>
    <row r="228" spans="1:41" ht="15">
      <c r="A228" s="131"/>
      <c r="B228" s="146" t="s">
        <v>198</v>
      </c>
      <c r="C228" s="127" t="s">
        <v>31</v>
      </c>
      <c r="D228" s="124" t="str">
        <f>IFERROR(D226/D202,"")</f>
        <v/>
      </c>
      <c r="E228" s="124">
        <f>IFERROR(E226/E202,"")</f>
        <v>1.4336161285687836E-2</v>
      </c>
      <c r="F228" s="124">
        <f>IFERROR(F226/F202,"")</f>
        <v>1.1950629907329462E-2</v>
      </c>
      <c r="G228" s="124">
        <f>IFERROR(G226/G202,"")</f>
        <v>1.2985322594706899E-2</v>
      </c>
      <c r="H228" s="124">
        <f>IFERROR(H226/H202,"")</f>
        <v>1.3967150656607122E-2</v>
      </c>
      <c r="I228" s="124">
        <f>IFERROR(I226/I202,"")</f>
        <v>1.71872269956936E-2</v>
      </c>
      <c r="J228" s="124">
        <f>IFERROR(J226/J202,"")</f>
        <v>1.864167138900177E-2</v>
      </c>
      <c r="K228" s="124">
        <f>IFERROR(K226/K202,"")</f>
        <v>1.9955525337467129E-2</v>
      </c>
      <c r="L228" s="124">
        <f>IFERROR(L226/L202,"")</f>
        <v>1.6598915662832985E-2</v>
      </c>
      <c r="M228" s="125">
        <f>IFERROR(M226/M202,"")</f>
        <v>1.6796845072905065E-2</v>
      </c>
      <c r="N228" s="125">
        <f>IFERROR(N226/N202,"")</f>
        <v>1.6977451297320596E-2</v>
      </c>
      <c r="O228" s="125">
        <f>IFERROR(O226/O202,"")</f>
        <v>1.71409154240834E-2</v>
      </c>
      <c r="P228" s="125">
        <f>IFERROR(P226/P202,"")</f>
        <v>1.7287422773511786E-2</v>
      </c>
      <c r="Q228" s="147">
        <f>IFERROR(Q226/Q202,"")</f>
        <v>1.7417155617031874E-2</v>
      </c>
      <c r="R228" s="127"/>
      <c r="S228" s="121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</row>
    <row r="229" spans="1:41" ht="15">
      <c r="A229" s="102"/>
      <c r="B229" s="157"/>
      <c r="C229" s="56"/>
      <c r="D229" s="57"/>
      <c r="E229" s="57"/>
      <c r="F229" s="57"/>
      <c r="G229" s="57"/>
      <c r="H229" s="57"/>
      <c r="I229" s="57"/>
      <c r="J229" s="57"/>
      <c r="K229" s="57"/>
      <c r="L229" s="57"/>
      <c r="M229" s="58"/>
      <c r="N229" s="58"/>
      <c r="O229" s="58"/>
      <c r="P229" s="58"/>
      <c r="Q229" s="158"/>
      <c r="R229" s="127"/>
      <c r="S229" s="121"/>
    </row>
    <row r="230" spans="1:41" ht="15">
      <c r="A230" s="102"/>
      <c r="B230" s="195" t="s">
        <v>204</v>
      </c>
      <c r="C230" s="196"/>
      <c r="D230" s="134">
        <v>43100</v>
      </c>
      <c r="E230" s="134">
        <f t="shared" ref="E230:E231" si="172">EOMONTH(D230,12)</f>
        <v>43465</v>
      </c>
      <c r="F230" s="134">
        <f t="shared" ref="F230:F231" si="173">EOMONTH(E230,12)</f>
        <v>43830</v>
      </c>
      <c r="G230" s="134">
        <f t="shared" ref="G230:G231" si="174">EOMONTH(F230,12)</f>
        <v>44196</v>
      </c>
      <c r="H230" s="134">
        <f t="shared" ref="H230:H231" si="175">EOMONTH(G230,12)</f>
        <v>44561</v>
      </c>
      <c r="I230" s="134">
        <f t="shared" ref="I230:I231" si="176">EOMONTH(H230,12)</f>
        <v>44926</v>
      </c>
      <c r="J230" s="134">
        <f t="shared" ref="J230:J231" si="177">EOMONTH(I230,12)</f>
        <v>45291</v>
      </c>
      <c r="K230" s="134">
        <f t="shared" ref="K230:K231" si="178">EOMONTH(J230,12)</f>
        <v>45657</v>
      </c>
      <c r="L230" s="135">
        <f t="shared" ref="L230:L231" si="179">EOMONTH(K230,12)</f>
        <v>46022</v>
      </c>
      <c r="M230" s="140">
        <f t="shared" ref="M230:M231" si="180">EOMONTH(L230,12)</f>
        <v>46387</v>
      </c>
      <c r="N230" s="140">
        <f t="shared" ref="N230:N231" si="181">EOMONTH(M230,12)</f>
        <v>46752</v>
      </c>
      <c r="O230" s="140">
        <f t="shared" ref="O230:O231" si="182">EOMONTH(N230,12)</f>
        <v>47118</v>
      </c>
      <c r="P230" s="140">
        <f t="shared" ref="P230:P231" si="183">EOMONTH(O230,12)</f>
        <v>47483</v>
      </c>
      <c r="Q230" s="141">
        <f t="shared" ref="Q230:Q231" si="184">EOMONTH(P230,12)</f>
        <v>47848</v>
      </c>
      <c r="R230" s="121"/>
      <c r="S230" s="121"/>
    </row>
    <row r="231" spans="1:41" ht="15">
      <c r="A231" s="102"/>
      <c r="B231" s="183" t="s">
        <v>106</v>
      </c>
      <c r="C231" s="184" t="s">
        <v>19</v>
      </c>
      <c r="D231" s="19">
        <v>43100</v>
      </c>
      <c r="E231" s="19">
        <f t="shared" si="172"/>
        <v>43465</v>
      </c>
      <c r="F231" s="19">
        <f t="shared" si="173"/>
        <v>43830</v>
      </c>
      <c r="G231" s="19">
        <f t="shared" si="174"/>
        <v>44196</v>
      </c>
      <c r="H231" s="19">
        <f t="shared" si="175"/>
        <v>44561</v>
      </c>
      <c r="I231" s="19">
        <f t="shared" si="176"/>
        <v>44926</v>
      </c>
      <c r="J231" s="19">
        <f t="shared" si="177"/>
        <v>45291</v>
      </c>
      <c r="K231" s="106">
        <f t="shared" si="178"/>
        <v>45657</v>
      </c>
      <c r="L231" s="137">
        <f t="shared" si="179"/>
        <v>46022</v>
      </c>
      <c r="M231" s="186">
        <f t="shared" si="180"/>
        <v>46387</v>
      </c>
      <c r="N231" s="186">
        <f t="shared" si="181"/>
        <v>46752</v>
      </c>
      <c r="O231" s="186">
        <f t="shared" si="182"/>
        <v>47118</v>
      </c>
      <c r="P231" s="186">
        <f t="shared" si="183"/>
        <v>47483</v>
      </c>
      <c r="Q231" s="187">
        <f t="shared" si="184"/>
        <v>47848</v>
      </c>
      <c r="R231" s="127"/>
      <c r="S231" s="121"/>
    </row>
    <row r="232" spans="1:41" ht="15">
      <c r="A232" s="102"/>
      <c r="B232" s="157" t="s">
        <v>205</v>
      </c>
      <c r="C232" s="56" t="s">
        <v>28</v>
      </c>
      <c r="D232" s="85">
        <f t="shared" ref="D232:Q232" si="185">D95</f>
        <v>120117</v>
      </c>
      <c r="E232" s="85">
        <f t="shared" si="185"/>
        <v>125463</v>
      </c>
      <c r="F232" s="85">
        <f t="shared" si="185"/>
        <v>133094</v>
      </c>
      <c r="G232" s="85">
        <f t="shared" si="185"/>
        <v>133259</v>
      </c>
      <c r="H232" s="85">
        <f t="shared" si="185"/>
        <v>144120</v>
      </c>
      <c r="I232" s="85">
        <f t="shared" si="185"/>
        <v>157354</v>
      </c>
      <c r="J232" s="85">
        <f t="shared" si="185"/>
        <v>190974</v>
      </c>
      <c r="K232" s="85">
        <f t="shared" si="185"/>
        <v>231123</v>
      </c>
      <c r="L232" s="85">
        <f t="shared" si="185"/>
        <v>219284</v>
      </c>
      <c r="M232" s="84">
        <f t="shared" si="185"/>
        <v>236835.26966550198</v>
      </c>
      <c r="N232" s="84">
        <f t="shared" si="185"/>
        <v>253955.65136421449</v>
      </c>
      <c r="O232" s="84">
        <f t="shared" si="185"/>
        <v>270351.59378045966</v>
      </c>
      <c r="P232" s="84">
        <f t="shared" si="185"/>
        <v>285724.12409736007</v>
      </c>
      <c r="Q232" s="169">
        <f t="shared" si="185"/>
        <v>299778.01007828984</v>
      </c>
      <c r="R232" s="127"/>
      <c r="S232" s="121"/>
    </row>
    <row r="233" spans="1:41" ht="15">
      <c r="A233" s="102"/>
      <c r="B233" s="157" t="s">
        <v>206</v>
      </c>
      <c r="C233" s="56" t="s">
        <v>28</v>
      </c>
      <c r="D233" s="85">
        <f t="shared" ref="D233:Q233" si="186">D163</f>
        <v>0</v>
      </c>
      <c r="E233" s="85">
        <f t="shared" si="186"/>
        <v>-84100.478999999992</v>
      </c>
      <c r="F233" s="85">
        <f t="shared" si="186"/>
        <v>-90152.295999999988</v>
      </c>
      <c r="G233" s="85">
        <f t="shared" si="186"/>
        <v>-87499.392000000007</v>
      </c>
      <c r="H233" s="85">
        <f t="shared" si="186"/>
        <v>-94220.013999999996</v>
      </c>
      <c r="I233" s="85">
        <f t="shared" si="186"/>
        <v>-117346.667</v>
      </c>
      <c r="J233" s="85">
        <f t="shared" si="186"/>
        <v>-143575.53</v>
      </c>
      <c r="K233" s="85">
        <f t="shared" si="186"/>
        <v>-150605.90400000001</v>
      </c>
      <c r="L233" s="85">
        <f t="shared" si="186"/>
        <v>-144663.60499999998</v>
      </c>
      <c r="M233" s="84">
        <f t="shared" si="186"/>
        <v>-160858.99457939592</v>
      </c>
      <c r="N233" s="84">
        <f t="shared" si="186"/>
        <v>-169509.86280583049</v>
      </c>
      <c r="O233" s="84">
        <f t="shared" si="186"/>
        <v>-177757.23220855408</v>
      </c>
      <c r="P233" s="84">
        <f t="shared" si="186"/>
        <v>-185493.88052890531</v>
      </c>
      <c r="Q233" s="169">
        <f t="shared" si="186"/>
        <v>-195349.34929771989</v>
      </c>
      <c r="R233" s="127"/>
      <c r="S233" s="121"/>
    </row>
    <row r="234" spans="1:41" ht="15">
      <c r="A234" s="102"/>
      <c r="B234" s="157" t="s">
        <v>207</v>
      </c>
      <c r="C234" s="56" t="s">
        <v>28</v>
      </c>
      <c r="D234" s="85">
        <f t="shared" ref="D234:Q234" si="187">D232+D233</f>
        <v>120117</v>
      </c>
      <c r="E234" s="85">
        <f t="shared" si="187"/>
        <v>41362.521000000008</v>
      </c>
      <c r="F234" s="85">
        <f t="shared" si="187"/>
        <v>42941.704000000012</v>
      </c>
      <c r="G234" s="85">
        <f t="shared" si="187"/>
        <v>45759.607999999993</v>
      </c>
      <c r="H234" s="85">
        <f t="shared" si="187"/>
        <v>49899.986000000004</v>
      </c>
      <c r="I234" s="85">
        <f t="shared" si="187"/>
        <v>40007.332999999999</v>
      </c>
      <c r="J234" s="85">
        <f t="shared" si="187"/>
        <v>47398.47</v>
      </c>
      <c r="K234" s="85">
        <f t="shared" si="187"/>
        <v>80517.09599999999</v>
      </c>
      <c r="L234" s="85">
        <f t="shared" si="187"/>
        <v>74620.395000000019</v>
      </c>
      <c r="M234" s="84">
        <f t="shared" si="187"/>
        <v>75976.275086106063</v>
      </c>
      <c r="N234" s="84">
        <f t="shared" si="187"/>
        <v>84445.788558383996</v>
      </c>
      <c r="O234" s="84">
        <f t="shared" si="187"/>
        <v>92594.361571905582</v>
      </c>
      <c r="P234" s="84">
        <f t="shared" si="187"/>
        <v>100230.24356845475</v>
      </c>
      <c r="Q234" s="169">
        <f t="shared" si="187"/>
        <v>104428.66078056995</v>
      </c>
      <c r="R234" s="121"/>
      <c r="S234" s="121"/>
    </row>
    <row r="235" spans="1:41" ht="15">
      <c r="A235" s="102"/>
      <c r="B235" s="157" t="s">
        <v>208</v>
      </c>
      <c r="C235" s="56" t="s">
        <v>31</v>
      </c>
      <c r="D235" s="87">
        <f t="shared" ref="D235:Q235" si="188">IFERROR(D234/D232,"")</f>
        <v>1</v>
      </c>
      <c r="E235" s="87">
        <f t="shared" si="188"/>
        <v>0.32967903684751687</v>
      </c>
      <c r="F235" s="87">
        <f t="shared" si="188"/>
        <v>0.32264192225043964</v>
      </c>
      <c r="G235" s="87">
        <f t="shared" si="188"/>
        <v>0.34338849908824165</v>
      </c>
      <c r="H235" s="87">
        <f t="shared" si="188"/>
        <v>0.34623914793227867</v>
      </c>
      <c r="I235" s="87">
        <f t="shared" si="188"/>
        <v>0.25425049887514772</v>
      </c>
      <c r="J235" s="87">
        <f t="shared" si="188"/>
        <v>0.24819331427314714</v>
      </c>
      <c r="K235" s="87">
        <f t="shared" si="188"/>
        <v>0.34837335963967236</v>
      </c>
      <c r="L235" s="87">
        <f t="shared" si="188"/>
        <v>0.340291106510279</v>
      </c>
      <c r="M235" s="88">
        <f t="shared" si="188"/>
        <v>0.32079797571287566</v>
      </c>
      <c r="N235" s="88">
        <f t="shared" si="188"/>
        <v>0.33252179309557772</v>
      </c>
      <c r="O235" s="88">
        <f t="shared" si="188"/>
        <v>0.34249608177674473</v>
      </c>
      <c r="P235" s="88">
        <f t="shared" si="188"/>
        <v>0.35079377313727084</v>
      </c>
      <c r="Q235" s="153">
        <f t="shared" si="188"/>
        <v>0.34835330567875017</v>
      </c>
      <c r="R235" s="127"/>
      <c r="S235" s="121"/>
    </row>
    <row r="236" spans="1:41" ht="15">
      <c r="A236" s="102"/>
      <c r="B236" s="157" t="s">
        <v>209</v>
      </c>
      <c r="C236" s="56" t="s">
        <v>28</v>
      </c>
      <c r="D236" s="85">
        <f t="shared" ref="D236:Q236" si="189">D180</f>
        <v>0</v>
      </c>
      <c r="E236" s="85">
        <f t="shared" si="189"/>
        <v>-44540.637999999999</v>
      </c>
      <c r="F236" s="85">
        <f t="shared" si="189"/>
        <v>-41043.425999999999</v>
      </c>
      <c r="G236" s="85">
        <f t="shared" si="189"/>
        <v>-47834.470999999998</v>
      </c>
      <c r="H236" s="85">
        <f t="shared" si="189"/>
        <v>-39860.764999999999</v>
      </c>
      <c r="I236" s="85">
        <f t="shared" si="189"/>
        <v>-36155.508999999998</v>
      </c>
      <c r="J236" s="85">
        <f t="shared" si="189"/>
        <v>-37281.817000000003</v>
      </c>
      <c r="K236" s="85">
        <f t="shared" si="189"/>
        <v>-46277.938999999998</v>
      </c>
      <c r="L236" s="85">
        <f t="shared" si="189"/>
        <v>-42421.436999999998</v>
      </c>
      <c r="M236" s="84">
        <f t="shared" si="189"/>
        <v>-51421.563916484709</v>
      </c>
      <c r="N236" s="84">
        <f t="shared" si="189"/>
        <v>-53641.037387248682</v>
      </c>
      <c r="O236" s="84">
        <f t="shared" si="189"/>
        <v>-55936.961134575737</v>
      </c>
      <c r="P236" s="84">
        <f t="shared" si="189"/>
        <v>-58309.543939528099</v>
      </c>
      <c r="Q236" s="169">
        <f t="shared" si="189"/>
        <v>-60759.182088521971</v>
      </c>
      <c r="R236" s="127"/>
      <c r="S236" s="59"/>
    </row>
    <row r="237" spans="1:41" ht="15">
      <c r="A237" s="102"/>
      <c r="B237" s="157" t="s">
        <v>210</v>
      </c>
      <c r="C237" s="56" t="s">
        <v>28</v>
      </c>
      <c r="D237" s="85">
        <f t="shared" ref="D237:Q237" si="190">D234+D236</f>
        <v>120117</v>
      </c>
      <c r="E237" s="85">
        <f t="shared" si="190"/>
        <v>-3178.1169999999911</v>
      </c>
      <c r="F237" s="85">
        <f t="shared" si="190"/>
        <v>1898.278000000013</v>
      </c>
      <c r="G237" s="85">
        <f t="shared" si="190"/>
        <v>-2074.8630000000048</v>
      </c>
      <c r="H237" s="85">
        <f t="shared" si="190"/>
        <v>10039.221000000005</v>
      </c>
      <c r="I237" s="85">
        <f t="shared" si="190"/>
        <v>3851.8240000000005</v>
      </c>
      <c r="J237" s="85">
        <f t="shared" si="190"/>
        <v>10116.652999999998</v>
      </c>
      <c r="K237" s="85">
        <f t="shared" si="190"/>
        <v>34239.156999999992</v>
      </c>
      <c r="L237" s="85">
        <f t="shared" si="190"/>
        <v>32198.958000000021</v>
      </c>
      <c r="M237" s="84">
        <f t="shared" si="190"/>
        <v>24554.711169621354</v>
      </c>
      <c r="N237" s="84">
        <f t="shared" si="190"/>
        <v>30804.751171135315</v>
      </c>
      <c r="O237" s="84">
        <f t="shared" si="190"/>
        <v>36657.400437329845</v>
      </c>
      <c r="P237" s="84">
        <f t="shared" si="190"/>
        <v>41920.699628926654</v>
      </c>
      <c r="Q237" s="169">
        <f t="shared" si="190"/>
        <v>43669.478692047975</v>
      </c>
      <c r="R237" s="59"/>
      <c r="S237" s="59"/>
    </row>
    <row r="238" spans="1:41" ht="15">
      <c r="A238" s="102"/>
      <c r="B238" s="157" t="s">
        <v>211</v>
      </c>
      <c r="C238" s="56" t="s">
        <v>28</v>
      </c>
      <c r="D238" s="85">
        <f t="shared" ref="D238:Q238" si="191">D202</f>
        <v>0</v>
      </c>
      <c r="E238" s="85">
        <f t="shared" si="191"/>
        <v>8971.509</v>
      </c>
      <c r="F238" s="85">
        <f t="shared" si="191"/>
        <v>8512.521999999999</v>
      </c>
      <c r="G238" s="85">
        <f t="shared" si="191"/>
        <v>7329.4290000000001</v>
      </c>
      <c r="H238" s="85">
        <f t="shared" si="191"/>
        <v>7031.0690000000004</v>
      </c>
      <c r="I238" s="85">
        <f t="shared" si="191"/>
        <v>6227.0079999999998</v>
      </c>
      <c r="J238" s="85">
        <f t="shared" si="191"/>
        <v>6737.4860000000008</v>
      </c>
      <c r="K238" s="85">
        <f t="shared" si="191"/>
        <v>7249.5209999999988</v>
      </c>
      <c r="L238" s="85">
        <f t="shared" si="191"/>
        <v>7266.5590000000002</v>
      </c>
      <c r="M238" s="84">
        <f t="shared" si="191"/>
        <v>7396.3598200000006</v>
      </c>
      <c r="N238" s="84">
        <f t="shared" si="191"/>
        <v>7518.913427550001</v>
      </c>
      <c r="O238" s="84">
        <f t="shared" si="191"/>
        <v>7633.3896382387502</v>
      </c>
      <c r="P238" s="84">
        <f t="shared" si="191"/>
        <v>7738.9939425991215</v>
      </c>
      <c r="Q238" s="169">
        <f t="shared" si="191"/>
        <v>7834.9765214511053</v>
      </c>
      <c r="R238" s="121"/>
      <c r="S238" s="59"/>
    </row>
    <row r="239" spans="1:41" ht="15">
      <c r="A239" s="102"/>
      <c r="B239" s="157" t="s">
        <v>212</v>
      </c>
      <c r="C239" s="56" t="s">
        <v>28</v>
      </c>
      <c r="D239" s="85">
        <f t="shared" ref="D239:Q239" si="192">D237+D238</f>
        <v>120117</v>
      </c>
      <c r="E239" s="85">
        <f t="shared" si="192"/>
        <v>5793.3920000000089</v>
      </c>
      <c r="F239" s="85">
        <f t="shared" si="192"/>
        <v>10410.800000000012</v>
      </c>
      <c r="G239" s="85">
        <f t="shared" si="192"/>
        <v>5254.5659999999953</v>
      </c>
      <c r="H239" s="85">
        <f t="shared" si="192"/>
        <v>17070.290000000005</v>
      </c>
      <c r="I239" s="85">
        <f t="shared" si="192"/>
        <v>10078.832</v>
      </c>
      <c r="J239" s="85">
        <f t="shared" si="192"/>
        <v>16854.138999999999</v>
      </c>
      <c r="K239" s="85">
        <f t="shared" si="192"/>
        <v>41488.677999999993</v>
      </c>
      <c r="L239" s="85">
        <f t="shared" si="192"/>
        <v>39465.517000000022</v>
      </c>
      <c r="M239" s="84">
        <f t="shared" si="192"/>
        <v>31951.070989621356</v>
      </c>
      <c r="N239" s="84">
        <f t="shared" si="192"/>
        <v>38323.664598685318</v>
      </c>
      <c r="O239" s="84">
        <f t="shared" si="192"/>
        <v>44290.790075568599</v>
      </c>
      <c r="P239" s="84">
        <f t="shared" si="192"/>
        <v>49659.693571525771</v>
      </c>
      <c r="Q239" s="169">
        <f t="shared" si="192"/>
        <v>51504.455213499081</v>
      </c>
      <c r="R239" s="127"/>
      <c r="S239" s="59"/>
    </row>
    <row r="240" spans="1:41" ht="15">
      <c r="A240" s="102"/>
      <c r="B240" s="157" t="s">
        <v>213</v>
      </c>
      <c r="C240" s="56" t="s">
        <v>31</v>
      </c>
      <c r="D240" s="87">
        <f t="shared" ref="D240:Q240" si="193">IFERROR(D239/D232,"")</f>
        <v>1</v>
      </c>
      <c r="E240" s="87">
        <f t="shared" si="193"/>
        <v>4.6176099726612699E-2</v>
      </c>
      <c r="F240" s="87">
        <f t="shared" si="193"/>
        <v>7.8221407426330353E-2</v>
      </c>
      <c r="G240" s="87">
        <f t="shared" si="193"/>
        <v>3.9431227909559545E-2</v>
      </c>
      <c r="H240" s="87">
        <f t="shared" si="193"/>
        <v>0.11844497640854847</v>
      </c>
      <c r="I240" s="87">
        <f t="shared" si="193"/>
        <v>6.4051959276535717E-2</v>
      </c>
      <c r="J240" s="87">
        <f t="shared" si="193"/>
        <v>8.8253579021228018E-2</v>
      </c>
      <c r="K240" s="87">
        <f t="shared" si="193"/>
        <v>0.17950908390770279</v>
      </c>
      <c r="L240" s="87">
        <f t="shared" si="193"/>
        <v>0.17997444866018505</v>
      </c>
      <c r="M240" s="88">
        <f t="shared" si="193"/>
        <v>0.13490841560358791</v>
      </c>
      <c r="N240" s="88">
        <f t="shared" si="193"/>
        <v>0.15090691777409132</v>
      </c>
      <c r="O240" s="88">
        <f t="shared" si="193"/>
        <v>0.16382662834063094</v>
      </c>
      <c r="P240" s="88">
        <f t="shared" si="193"/>
        <v>0.17380294271058577</v>
      </c>
      <c r="Q240" s="153">
        <f t="shared" si="193"/>
        <v>0.17180865000754461</v>
      </c>
      <c r="R240" s="127"/>
      <c r="S240" s="59"/>
    </row>
    <row r="241" spans="1:19" ht="15">
      <c r="A241" s="102"/>
      <c r="B241" s="157" t="s">
        <v>214</v>
      </c>
      <c r="C241" s="56" t="s">
        <v>28</v>
      </c>
      <c r="D241" s="85">
        <f>'Historical Dataset'!F121</f>
        <v>46.003999999999998</v>
      </c>
      <c r="E241" s="85">
        <f>'Historical Dataset'!G121</f>
        <v>100</v>
      </c>
      <c r="F241" s="85">
        <f>'Historical Dataset'!H121</f>
        <v>117.9</v>
      </c>
      <c r="G241" s="85">
        <f>'Historical Dataset'!I121</f>
        <v>123.188</v>
      </c>
      <c r="H241" s="85">
        <f>'Historical Dataset'!J121</f>
        <v>162.86199999999999</v>
      </c>
      <c r="I241" s="85">
        <f>'Historical Dataset'!K121</f>
        <v>396.94</v>
      </c>
      <c r="J241" s="85">
        <f>'Historical Dataset'!L121</f>
        <v>506.64</v>
      </c>
      <c r="K241" s="85">
        <f>'Historical Dataset'!M121</f>
        <v>1493.9559999999999</v>
      </c>
      <c r="L241" s="85">
        <f>'Historical Dataset'!N121</f>
        <v>625.21799999999996</v>
      </c>
      <c r="M241" s="84">
        <f>L265*2.5%</f>
        <v>189.68695000000002</v>
      </c>
      <c r="N241" s="84">
        <f>M265*2.5%</f>
        <v>493.78451512653766</v>
      </c>
      <c r="O241" s="84">
        <f>N265*2.5%</f>
        <v>724.29319609529932</v>
      </c>
      <c r="P241" s="84">
        <f>O265*2.5%</f>
        <v>1008.8098437164471</v>
      </c>
      <c r="Q241" s="169">
        <f>P265*2.5%</f>
        <v>1362.3393614820741</v>
      </c>
      <c r="R241" s="127"/>
      <c r="S241" s="59"/>
    </row>
    <row r="242" spans="1:19" ht="15">
      <c r="A242" s="102"/>
      <c r="B242" s="157" t="s">
        <v>215</v>
      </c>
      <c r="C242" s="56" t="s">
        <v>28</v>
      </c>
      <c r="D242" s="85">
        <f>'Historical Dataset'!F122</f>
        <v>-6039.9709999999995</v>
      </c>
      <c r="E242" s="85">
        <f>'Historical Dataset'!G122</f>
        <v>-7047.5259999999998</v>
      </c>
      <c r="F242" s="85">
        <f>'Historical Dataset'!H122</f>
        <v>-10315.242</v>
      </c>
      <c r="G242" s="85">
        <f>'Historical Dataset'!I122</f>
        <v>-12477.428</v>
      </c>
      <c r="H242" s="85">
        <f>'Historical Dataset'!J122</f>
        <v>-9050.1239999999998</v>
      </c>
      <c r="I242" s="85">
        <f>'Historical Dataset'!K122</f>
        <v>-12760.259</v>
      </c>
      <c r="J242" s="85">
        <f>'Historical Dataset'!L122</f>
        <v>-24153.921999999999</v>
      </c>
      <c r="K242" s="85">
        <f>'Historical Dataset'!M122</f>
        <v>682.798</v>
      </c>
      <c r="L242" s="85">
        <f>'Historical Dataset'!N122</f>
        <v>-4716.6189999999997</v>
      </c>
      <c r="M242" s="84">
        <f>-L264*D28</f>
        <v>-4853.4764299999997</v>
      </c>
      <c r="N242" s="84">
        <f>-M264*D28</f>
        <v>-4319.4049831363518</v>
      </c>
      <c r="O242" s="84">
        <f>-N264*D28</f>
        <v>-3844.1021971426676</v>
      </c>
      <c r="P242" s="84">
        <f>-O264*D28</f>
        <v>-3421.101230324392</v>
      </c>
      <c r="Q242" s="169">
        <f>-P264*D28</f>
        <v>-3044.6468454524015</v>
      </c>
      <c r="R242" s="121"/>
      <c r="S242" s="59"/>
    </row>
    <row r="243" spans="1:19" ht="15">
      <c r="A243" s="102"/>
      <c r="B243" s="157" t="s">
        <v>216</v>
      </c>
      <c r="C243" s="56" t="s">
        <v>28</v>
      </c>
      <c r="D243" s="85">
        <f t="shared" ref="D243:Q243" si="194">D239+D241+D242</f>
        <v>114123.033</v>
      </c>
      <c r="E243" s="85">
        <f t="shared" si="194"/>
        <v>-1154.1339999999909</v>
      </c>
      <c r="F243" s="85">
        <f t="shared" si="194"/>
        <v>213.45800000001145</v>
      </c>
      <c r="G243" s="85">
        <f t="shared" si="194"/>
        <v>-7099.6740000000045</v>
      </c>
      <c r="H243" s="85">
        <f t="shared" si="194"/>
        <v>8183.0280000000057</v>
      </c>
      <c r="I243" s="85">
        <f t="shared" si="194"/>
        <v>-2284.4869999999992</v>
      </c>
      <c r="J243" s="85">
        <f t="shared" si="194"/>
        <v>-6793.143</v>
      </c>
      <c r="K243" s="85">
        <f t="shared" si="194"/>
        <v>43665.431999999993</v>
      </c>
      <c r="L243" s="85">
        <f t="shared" si="194"/>
        <v>35374.116000000024</v>
      </c>
      <c r="M243" s="84">
        <f t="shared" si="194"/>
        <v>27287.281509621356</v>
      </c>
      <c r="N243" s="84">
        <f t="shared" si="194"/>
        <v>34498.044130675502</v>
      </c>
      <c r="O243" s="84">
        <f t="shared" si="194"/>
        <v>41170.981074521231</v>
      </c>
      <c r="P243" s="84">
        <f t="shared" si="194"/>
        <v>47247.402184917824</v>
      </c>
      <c r="Q243" s="169">
        <f t="shared" si="194"/>
        <v>49822.147729528755</v>
      </c>
      <c r="R243" s="127"/>
      <c r="S243" s="59"/>
    </row>
    <row r="244" spans="1:19" ht="15">
      <c r="A244" s="102"/>
      <c r="B244" s="157" t="s">
        <v>217</v>
      </c>
      <c r="C244" s="56" t="s">
        <v>28</v>
      </c>
      <c r="D244" s="85">
        <f>'Historical Dataset'!F124</f>
        <v>-2376.2139999999999</v>
      </c>
      <c r="E244" s="85">
        <f>'Historical Dataset'!G124</f>
        <v>-1699.6410000000001</v>
      </c>
      <c r="F244" s="85">
        <f>'Historical Dataset'!H124</f>
        <v>-72.061000000000007</v>
      </c>
      <c r="G244" s="85">
        <f>'Historical Dataset'!I124</f>
        <v>6102.5320000000002</v>
      </c>
      <c r="H244" s="85">
        <f>'Historical Dataset'!J124</f>
        <v>-6707.9679999999998</v>
      </c>
      <c r="I244" s="85">
        <f>'Historical Dataset'!K124</f>
        <v>-1520.742</v>
      </c>
      <c r="J244" s="85">
        <f>'Historical Dataset'!L124</f>
        <v>1240.6769999999999</v>
      </c>
      <c r="K244" s="85">
        <f>'Historical Dataset'!M124</f>
        <v>-13585.659</v>
      </c>
      <c r="L244" s="85">
        <f>'Historical Dataset'!N124</f>
        <v>-10908.159</v>
      </c>
      <c r="M244" s="84">
        <f>-MAX(M243,0)*D29</f>
        <v>-8179.8726960696104</v>
      </c>
      <c r="N244" s="84">
        <f>-MAX(N243,0)*D29</f>
        <v>-10341.433577867345</v>
      </c>
      <c r="O244" s="84">
        <f>-MAX(O243,0)*D29</f>
        <v>-12341.771159693219</v>
      </c>
      <c r="P244" s="84">
        <f>-MAX(P243,0)*D29</f>
        <v>-14163.291970156824</v>
      </c>
      <c r="Q244" s="169">
        <f>-MAX(Q243,0)*D29</f>
        <v>-14935.120075212428</v>
      </c>
      <c r="R244" s="127"/>
      <c r="S244" s="59"/>
    </row>
    <row r="245" spans="1:19" ht="15">
      <c r="A245" s="102"/>
      <c r="B245" s="157" t="s">
        <v>218</v>
      </c>
      <c r="C245" s="56" t="s">
        <v>28</v>
      </c>
      <c r="D245" s="85">
        <f t="shared" ref="D245:Q245" si="195">D243+D244</f>
        <v>111746.81899999999</v>
      </c>
      <c r="E245" s="85">
        <f t="shared" si="195"/>
        <v>-2853.774999999991</v>
      </c>
      <c r="F245" s="85">
        <f t="shared" si="195"/>
        <v>141.39700000001145</v>
      </c>
      <c r="G245" s="85">
        <f t="shared" si="195"/>
        <v>-997.14200000000437</v>
      </c>
      <c r="H245" s="85">
        <f t="shared" si="195"/>
        <v>1475.0600000000059</v>
      </c>
      <c r="I245" s="85">
        <f t="shared" si="195"/>
        <v>-3805.2289999999994</v>
      </c>
      <c r="J245" s="85">
        <f t="shared" si="195"/>
        <v>-5552.4660000000003</v>
      </c>
      <c r="K245" s="85">
        <f t="shared" si="195"/>
        <v>30079.772999999994</v>
      </c>
      <c r="L245" s="85">
        <f t="shared" si="195"/>
        <v>24465.957000000024</v>
      </c>
      <c r="M245" s="84">
        <f t="shared" si="195"/>
        <v>19107.408813551745</v>
      </c>
      <c r="N245" s="84">
        <f t="shared" si="195"/>
        <v>24156.610552808157</v>
      </c>
      <c r="O245" s="84">
        <f t="shared" si="195"/>
        <v>28829.20991482801</v>
      </c>
      <c r="P245" s="84">
        <f t="shared" si="195"/>
        <v>33084.110214761</v>
      </c>
      <c r="Q245" s="169">
        <f t="shared" si="195"/>
        <v>34887.027654316327</v>
      </c>
      <c r="R245" s="127"/>
      <c r="S245" s="59"/>
    </row>
    <row r="246" spans="1:19" ht="15">
      <c r="A246" s="102"/>
      <c r="B246" s="157" t="s">
        <v>219</v>
      </c>
      <c r="C246" s="56" t="s">
        <v>22</v>
      </c>
      <c r="D246" s="82">
        <f>IFERROR(D245/D20,"")</f>
        <v>57.262987512777556</v>
      </c>
      <c r="E246" s="82">
        <f>IFERROR(E245/D20,"")</f>
        <v>-1.4623743534863063</v>
      </c>
      <c r="F246" s="82">
        <f>IFERROR(F245/D20,"")</f>
        <v>7.245677969003185E-2</v>
      </c>
      <c r="G246" s="82">
        <f>IFERROR(G245/D20,"")</f>
        <v>-0.51097051715151098</v>
      </c>
      <c r="H246" s="82">
        <f>IFERROR(H245/D20,"")</f>
        <v>0.75587245450448137</v>
      </c>
      <c r="I246" s="82">
        <f>IFERROR(I245/D20,"")</f>
        <v>-1.9499327377744777</v>
      </c>
      <c r="J246" s="82">
        <f>IFERROR(J245/D20,"")</f>
        <v>-2.8452782286636902</v>
      </c>
      <c r="K246" s="82">
        <f>IFERROR(K245/D20,"")</f>
        <v>15.41393017805888</v>
      </c>
      <c r="L246" s="82">
        <f>IFERROR(L245/D20,"")</f>
        <v>12.537214058676286</v>
      </c>
      <c r="M246" s="83">
        <f>IFERROR(M245/D20,"")</f>
        <v>9.7913061157646872</v>
      </c>
      <c r="N246" s="83">
        <f>IFERROR(N245/D20,"")</f>
        <v>12.37869409451811</v>
      </c>
      <c r="O246" s="83">
        <f>IFERROR(O245/D20,"")</f>
        <v>14.773097812798049</v>
      </c>
      <c r="P246" s="83">
        <f>IFERROR(P245/D20,"")</f>
        <v>16.953457888579504</v>
      </c>
      <c r="Q246" s="160">
        <f>IFERROR(Q245/D20,"")</f>
        <v>17.877335988660594</v>
      </c>
      <c r="R246" s="121"/>
      <c r="S246" s="59"/>
    </row>
    <row r="247" spans="1:19" ht="15">
      <c r="A247" s="102"/>
      <c r="B247" s="157" t="s">
        <v>220</v>
      </c>
      <c r="C247" s="56" t="s">
        <v>22</v>
      </c>
      <c r="D247" s="82">
        <f>'Historical Dataset'!F269</f>
        <v>0.29999997950259777</v>
      </c>
      <c r="E247" s="82">
        <f>'Historical Dataset'!G269</f>
        <v>0.50000030746103385</v>
      </c>
      <c r="F247" s="82">
        <f>'Historical Dataset'!H269</f>
        <v>0</v>
      </c>
      <c r="G247" s="82">
        <f>'Historical Dataset'!I269</f>
        <v>0</v>
      </c>
      <c r="H247" s="82">
        <f>'Historical Dataset'!J269</f>
        <v>0</v>
      </c>
      <c r="I247" s="82">
        <f>'Historical Dataset'!K269</f>
        <v>0</v>
      </c>
      <c r="J247" s="82">
        <f>'Historical Dataset'!L269</f>
        <v>0</v>
      </c>
      <c r="K247" s="82">
        <f>'Historical Dataset'!M269</f>
        <v>0</v>
      </c>
      <c r="L247" s="82">
        <f>'Historical Dataset'!N269</f>
        <v>0.89999993850779314</v>
      </c>
      <c r="M247" s="83">
        <f>MAX(0,M246*D52)</f>
        <v>0.70286510884728559</v>
      </c>
      <c r="N247" s="83">
        <f>MAX(0,N246*D52)</f>
        <v>0.88859975056057394</v>
      </c>
      <c r="O247" s="83">
        <f>MAX(0,O246*D52)</f>
        <v>1.0604810920461107</v>
      </c>
      <c r="P247" s="83">
        <f>MAX(0,P246*D52)</f>
        <v>1.216997393739812</v>
      </c>
      <c r="Q247" s="160">
        <f>MAX(0,Q246*D52)</f>
        <v>1.2833176245341082</v>
      </c>
      <c r="R247" s="127"/>
      <c r="S247" s="59"/>
    </row>
    <row r="248" spans="1:19" ht="15">
      <c r="A248" s="102"/>
      <c r="B248" s="157"/>
      <c r="C248" s="56"/>
      <c r="D248" s="57"/>
      <c r="E248" s="57"/>
      <c r="F248" s="57"/>
      <c r="G248" s="57"/>
      <c r="H248" s="57"/>
      <c r="I248" s="57"/>
      <c r="J248" s="57"/>
      <c r="K248" s="57"/>
      <c r="L248" s="57"/>
      <c r="M248" s="58"/>
      <c r="N248" s="58"/>
      <c r="O248" s="58"/>
      <c r="P248" s="58"/>
      <c r="Q248" s="158"/>
      <c r="R248" s="127"/>
      <c r="S248" s="59"/>
    </row>
    <row r="249" spans="1:19" ht="15">
      <c r="A249" s="102"/>
      <c r="B249" s="195" t="s">
        <v>221</v>
      </c>
      <c r="C249" s="196"/>
      <c r="D249" s="134">
        <v>43100</v>
      </c>
      <c r="E249" s="134">
        <f t="shared" ref="E249:E250" si="196">EOMONTH(D249,12)</f>
        <v>43465</v>
      </c>
      <c r="F249" s="134">
        <f t="shared" ref="F249:F250" si="197">EOMONTH(E249,12)</f>
        <v>43830</v>
      </c>
      <c r="G249" s="134">
        <f t="shared" ref="G249:G250" si="198">EOMONTH(F249,12)</f>
        <v>44196</v>
      </c>
      <c r="H249" s="134">
        <f t="shared" ref="H249:H250" si="199">EOMONTH(G249,12)</f>
        <v>44561</v>
      </c>
      <c r="I249" s="134">
        <f t="shared" ref="I249:I250" si="200">EOMONTH(H249,12)</f>
        <v>44926</v>
      </c>
      <c r="J249" s="134">
        <f t="shared" ref="J249:J250" si="201">EOMONTH(I249,12)</f>
        <v>45291</v>
      </c>
      <c r="K249" s="134">
        <f t="shared" ref="K249:K250" si="202">EOMONTH(J249,12)</f>
        <v>45657</v>
      </c>
      <c r="L249" s="135">
        <f t="shared" ref="L249:L250" si="203">EOMONTH(K249,12)</f>
        <v>46022</v>
      </c>
      <c r="M249" s="140">
        <f t="shared" ref="M249:M250" si="204">EOMONTH(L249,12)</f>
        <v>46387</v>
      </c>
      <c r="N249" s="140">
        <f t="shared" ref="N249:N250" si="205">EOMONTH(M249,12)</f>
        <v>46752</v>
      </c>
      <c r="O249" s="140">
        <f t="shared" ref="O249:O250" si="206">EOMONTH(N249,12)</f>
        <v>47118</v>
      </c>
      <c r="P249" s="140">
        <f t="shared" ref="P249:P250" si="207">EOMONTH(O249,12)</f>
        <v>47483</v>
      </c>
      <c r="Q249" s="141">
        <f t="shared" ref="Q249:Q250" si="208">EOMONTH(P249,12)</f>
        <v>47848</v>
      </c>
      <c r="R249" s="59"/>
      <c r="S249" s="59"/>
    </row>
    <row r="250" spans="1:19" ht="15">
      <c r="A250" s="102"/>
      <c r="B250" s="183" t="s">
        <v>106</v>
      </c>
      <c r="C250" s="184" t="s">
        <v>19</v>
      </c>
      <c r="D250" s="19">
        <v>43100</v>
      </c>
      <c r="E250" s="19">
        <f t="shared" si="196"/>
        <v>43465</v>
      </c>
      <c r="F250" s="19">
        <f t="shared" si="197"/>
        <v>43830</v>
      </c>
      <c r="G250" s="19">
        <f t="shared" si="198"/>
        <v>44196</v>
      </c>
      <c r="H250" s="19">
        <f t="shared" si="199"/>
        <v>44561</v>
      </c>
      <c r="I250" s="19">
        <f t="shared" si="200"/>
        <v>44926</v>
      </c>
      <c r="J250" s="19">
        <f t="shared" si="201"/>
        <v>45291</v>
      </c>
      <c r="K250" s="106">
        <f t="shared" si="202"/>
        <v>45657</v>
      </c>
      <c r="L250" s="137">
        <f t="shared" si="203"/>
        <v>46022</v>
      </c>
      <c r="M250" s="186">
        <f t="shared" si="204"/>
        <v>46387</v>
      </c>
      <c r="N250" s="186">
        <f t="shared" si="205"/>
        <v>46752</v>
      </c>
      <c r="O250" s="186">
        <f t="shared" si="206"/>
        <v>47118</v>
      </c>
      <c r="P250" s="186">
        <f t="shared" si="207"/>
        <v>47483</v>
      </c>
      <c r="Q250" s="187">
        <f t="shared" si="208"/>
        <v>47848</v>
      </c>
      <c r="R250" s="121"/>
      <c r="S250" s="80" t="s">
        <v>21</v>
      </c>
    </row>
    <row r="251" spans="1:19" ht="15">
      <c r="A251" s="102"/>
      <c r="B251" s="157" t="s">
        <v>222</v>
      </c>
      <c r="C251" s="56" t="s">
        <v>28</v>
      </c>
      <c r="D251" s="85">
        <f>'Historical Dataset'!F211</f>
        <v>40794.112999999998</v>
      </c>
      <c r="E251" s="85">
        <f>'Historical Dataset'!G211</f>
        <v>35219.921000000002</v>
      </c>
      <c r="F251" s="85">
        <f>'Historical Dataset'!H211</f>
        <v>30110.66</v>
      </c>
      <c r="G251" s="85">
        <f>'Historical Dataset'!I211</f>
        <v>33815.004999999997</v>
      </c>
      <c r="H251" s="85">
        <f>'Historical Dataset'!J211</f>
        <v>37595.665000000001</v>
      </c>
      <c r="I251" s="85">
        <f>'Historical Dataset'!K211</f>
        <v>40436.574999999997</v>
      </c>
      <c r="J251" s="85">
        <f>'Historical Dataset'!L211</f>
        <v>56737.372000000003</v>
      </c>
      <c r="K251" s="85">
        <f>'Historical Dataset'!M211</f>
        <v>58532.339</v>
      </c>
      <c r="L251" s="85">
        <f>'Historical Dataset'!N211</f>
        <v>76021.430999999997</v>
      </c>
      <c r="M251" s="84">
        <f>M232*M256/365</f>
        <v>76460.762868330698</v>
      </c>
      <c r="N251" s="84">
        <f>N232*N256/365</f>
        <v>78961.36429097128</v>
      </c>
      <c r="O251" s="84">
        <f>O232*O256/365</f>
        <v>82448.281089815471</v>
      </c>
      <c r="P251" s="84">
        <f>P232*P256/365</f>
        <v>86285.089405509978</v>
      </c>
      <c r="Q251" s="169">
        <f>Q232*Q256/365</f>
        <v>90082.597461976271</v>
      </c>
      <c r="R251" s="127"/>
      <c r="S251" s="59"/>
    </row>
    <row r="252" spans="1:19" ht="15">
      <c r="A252" s="102"/>
      <c r="B252" s="157" t="s">
        <v>223</v>
      </c>
      <c r="C252" s="56" t="s">
        <v>28</v>
      </c>
      <c r="D252" s="85">
        <f>'Historical Dataset'!F212</f>
        <v>9626.2929999999997</v>
      </c>
      <c r="E252" s="85">
        <f>'Historical Dataset'!G212</f>
        <v>9745.3850000000002</v>
      </c>
      <c r="F252" s="85">
        <f>'Historical Dataset'!H212</f>
        <v>9834.9</v>
      </c>
      <c r="G252" s="85">
        <f>'Historical Dataset'!I212</f>
        <v>4831.3720000000003</v>
      </c>
      <c r="H252" s="85">
        <f>'Historical Dataset'!J212</f>
        <v>5895.7659999999996</v>
      </c>
      <c r="I252" s="85">
        <f>'Historical Dataset'!K212</f>
        <v>6316.2430000000004</v>
      </c>
      <c r="J252" s="85">
        <f>'Historical Dataset'!L212</f>
        <v>6072.9949999999999</v>
      </c>
      <c r="K252" s="85">
        <f>'Historical Dataset'!M212</f>
        <v>9248.4060000000009</v>
      </c>
      <c r="L252" s="85">
        <f>'Historical Dataset'!N212</f>
        <v>14608.124</v>
      </c>
      <c r="M252" s="84">
        <f>ABS(M233)*M257/365</f>
        <v>13609.369643335738</v>
      </c>
      <c r="N252" s="84">
        <f>ABS(N233)*N257/365</f>
        <v>12953.357036550318</v>
      </c>
      <c r="O252" s="84">
        <f>ABS(O233)*O257/365</f>
        <v>12855.871720144607</v>
      </c>
      <c r="P252" s="84">
        <f>ABS(P233)*P257/365</f>
        <v>13035.709613594361</v>
      </c>
      <c r="Q252" s="169">
        <f>ABS(Q233)*Q257/365</f>
        <v>13528.374149835161</v>
      </c>
      <c r="R252" s="127"/>
      <c r="S252" s="59"/>
    </row>
    <row r="253" spans="1:19" ht="15">
      <c r="A253" s="102"/>
      <c r="B253" s="157" t="s">
        <v>224</v>
      </c>
      <c r="C253" s="56" t="s">
        <v>28</v>
      </c>
      <c r="D253" s="85">
        <f>'Historical Dataset'!F213</f>
        <v>57545.031999999999</v>
      </c>
      <c r="E253" s="85">
        <f>'Historical Dataset'!G213</f>
        <v>71259.373999999996</v>
      </c>
      <c r="F253" s="85">
        <f>'Historical Dataset'!H213</f>
        <v>81196.161999999997</v>
      </c>
      <c r="G253" s="85">
        <f>'Historical Dataset'!I213</f>
        <v>88502.706000000006</v>
      </c>
      <c r="H253" s="85">
        <f>'Historical Dataset'!J213</f>
        <v>91894.846000000005</v>
      </c>
      <c r="I253" s="85">
        <f>'Historical Dataset'!K213</f>
        <v>88216.417000000001</v>
      </c>
      <c r="J253" s="85">
        <f>'Historical Dataset'!L213</f>
        <v>105064.92200000001</v>
      </c>
      <c r="K253" s="85">
        <f>'Historical Dataset'!M213</f>
        <v>80339.23</v>
      </c>
      <c r="L253" s="85">
        <f>'Historical Dataset'!N213</f>
        <v>89937.801999999996</v>
      </c>
      <c r="M253" s="84">
        <f>ABS(M233)*M258/365</f>
        <v>100591.21015861872</v>
      </c>
      <c r="N253" s="84">
        <f>ABS(N233)*N258/365</f>
        <v>106308.98970676877</v>
      </c>
      <c r="O253" s="84">
        <f>ABS(O233)*O258/365</f>
        <v>111642.89683960161</v>
      </c>
      <c r="P253" s="84">
        <f>ABS(P233)*P258/365</f>
        <v>116586.28462955463</v>
      </c>
      <c r="Q253" s="169">
        <f>ABS(Q233)*Q258/365</f>
        <v>122825.00448516273</v>
      </c>
      <c r="R253" s="127"/>
      <c r="S253" s="59"/>
    </row>
    <row r="254" spans="1:19" ht="15">
      <c r="A254" s="102"/>
      <c r="B254" s="157" t="s">
        <v>225</v>
      </c>
      <c r="C254" s="56" t="s">
        <v>28</v>
      </c>
      <c r="D254" s="85">
        <f t="shared" ref="D254:Q254" si="209">D251+D252-D253</f>
        <v>-7124.6260000000038</v>
      </c>
      <c r="E254" s="85">
        <f t="shared" si="209"/>
        <v>-26294.067999999992</v>
      </c>
      <c r="F254" s="85">
        <f t="shared" si="209"/>
        <v>-41250.601999999999</v>
      </c>
      <c r="G254" s="85">
        <f t="shared" si="209"/>
        <v>-49856.329000000005</v>
      </c>
      <c r="H254" s="85">
        <f t="shared" si="209"/>
        <v>-48403.415000000008</v>
      </c>
      <c r="I254" s="85">
        <f t="shared" si="209"/>
        <v>-41463.599000000002</v>
      </c>
      <c r="J254" s="85">
        <f t="shared" si="209"/>
        <v>-42254.555</v>
      </c>
      <c r="K254" s="85">
        <f t="shared" si="209"/>
        <v>-12558.485000000001</v>
      </c>
      <c r="L254" s="85">
        <f t="shared" si="209"/>
        <v>691.75299999999697</v>
      </c>
      <c r="M254" s="84">
        <f t="shared" si="209"/>
        <v>-10521.077646952283</v>
      </c>
      <c r="N254" s="84">
        <f t="shared" si="209"/>
        <v>-14394.268379247165</v>
      </c>
      <c r="O254" s="84">
        <f t="shared" si="209"/>
        <v>-16338.74402964153</v>
      </c>
      <c r="P254" s="84">
        <f t="shared" si="209"/>
        <v>-17265.485610450298</v>
      </c>
      <c r="Q254" s="169">
        <f t="shared" si="209"/>
        <v>-19214.032873351302</v>
      </c>
      <c r="R254" s="121"/>
      <c r="S254" s="59"/>
    </row>
    <row r="255" spans="1:19" ht="15">
      <c r="A255" s="102"/>
      <c r="B255" s="157" t="s">
        <v>226</v>
      </c>
      <c r="C255" s="56" t="s">
        <v>28</v>
      </c>
      <c r="D255" s="85"/>
      <c r="E255" s="85">
        <f t="shared" ref="E255:Q255" si="210">E254-D254</f>
        <v>-19169.441999999988</v>
      </c>
      <c r="F255" s="85">
        <f t="shared" si="210"/>
        <v>-14956.534000000007</v>
      </c>
      <c r="G255" s="85">
        <f t="shared" si="210"/>
        <v>-8605.7270000000062</v>
      </c>
      <c r="H255" s="85">
        <f t="shared" si="210"/>
        <v>1452.913999999997</v>
      </c>
      <c r="I255" s="85">
        <f t="shared" si="210"/>
        <v>6939.8160000000062</v>
      </c>
      <c r="J255" s="85">
        <f t="shared" si="210"/>
        <v>-790.95599999999831</v>
      </c>
      <c r="K255" s="85">
        <f t="shared" si="210"/>
        <v>29696.07</v>
      </c>
      <c r="L255" s="85">
        <f t="shared" si="210"/>
        <v>13250.237999999998</v>
      </c>
      <c r="M255" s="84">
        <f t="shared" si="210"/>
        <v>-11212.830646952279</v>
      </c>
      <c r="N255" s="84">
        <f t="shared" si="210"/>
        <v>-3873.1907322948828</v>
      </c>
      <c r="O255" s="84">
        <f t="shared" si="210"/>
        <v>-1944.4756503943645</v>
      </c>
      <c r="P255" s="84">
        <f t="shared" si="210"/>
        <v>-926.74158080876805</v>
      </c>
      <c r="Q255" s="169">
        <f t="shared" si="210"/>
        <v>-1948.5472629010037</v>
      </c>
      <c r="R255" s="127"/>
      <c r="S255" s="59"/>
    </row>
    <row r="256" spans="1:19" ht="15">
      <c r="A256" s="102"/>
      <c r="B256" s="157" t="s">
        <v>227</v>
      </c>
      <c r="C256" s="56" t="s">
        <v>85</v>
      </c>
      <c r="D256" s="85">
        <f>'Historical Dataset'!F215</f>
        <v>123.31929195136051</v>
      </c>
      <c r="E256" s="85">
        <f>'Historical Dataset'!G215</f>
        <v>97.848771181604775</v>
      </c>
      <c r="F256" s="85">
        <f>'Historical Dataset'!H215</f>
        <v>82.547075865582912</v>
      </c>
      <c r="G256" s="85">
        <f>'Historical Dataset'!I215</f>
        <v>92.620488582042896</v>
      </c>
      <c r="H256" s="85">
        <f>'Historical Dataset'!J215</f>
        <v>95.215482480679839</v>
      </c>
      <c r="I256" s="85">
        <f>'Historical Dataset'!K215</f>
        <v>93.797551050326561</v>
      </c>
      <c r="J256" s="85">
        <f>'Historical Dataset'!L215</f>
        <v>108.43904054559951</v>
      </c>
      <c r="K256" s="85">
        <f>'Historical Dataset'!M215</f>
        <v>92.436704915941576</v>
      </c>
      <c r="L256" s="85">
        <f>'Historical Dataset'!N215</f>
        <v>126.53796191896186</v>
      </c>
      <c r="M256" s="84">
        <f>(L256+D48)/2</f>
        <v>117.83793218956475</v>
      </c>
      <c r="N256" s="84">
        <f>(M256+D48)/2</f>
        <v>113.4879173248662</v>
      </c>
      <c r="O256" s="84">
        <f>(N256+D48)/2</f>
        <v>111.31290989251693</v>
      </c>
      <c r="P256" s="84">
        <f>(O256+D48)/2</f>
        <v>110.22540617634229</v>
      </c>
      <c r="Q256" s="169">
        <f>(P256+D48)/2</f>
        <v>109.68165431825497</v>
      </c>
      <c r="R256" s="127"/>
      <c r="S256" s="59"/>
    </row>
    <row r="257" spans="1:19" ht="15">
      <c r="A257" s="102"/>
      <c r="B257" s="157" t="s">
        <v>228</v>
      </c>
      <c r="C257" s="56" t="s">
        <v>85</v>
      </c>
      <c r="D257" s="85" t="str">
        <f>'Historical Dataset'!F216</f>
        <v/>
      </c>
      <c r="E257" s="85">
        <f>'Historical Dataset'!G216</f>
        <v>42.295425273380424</v>
      </c>
      <c r="F257" s="85">
        <f>'Historical Dataset'!H216</f>
        <v>39.81860317789355</v>
      </c>
      <c r="G257" s="85">
        <f>'Historical Dataset'!I216</f>
        <v>20.153863240558287</v>
      </c>
      <c r="H257" s="85">
        <f>'Historical Dataset'!J216</f>
        <v>22.83967597372677</v>
      </c>
      <c r="I257" s="85">
        <f>'Historical Dataset'!K216</f>
        <v>19.64630742345669</v>
      </c>
      <c r="J257" s="85">
        <f>'Historical Dataset'!L216</f>
        <v>15.438864651936161</v>
      </c>
      <c r="K257" s="85">
        <f>'Historical Dataset'!M216</f>
        <v>22.41391672135244</v>
      </c>
      <c r="L257" s="85">
        <f>'Historical Dataset'!N216</f>
        <v>36.857682759945043</v>
      </c>
      <c r="M257" s="84">
        <f>(L257+D49)/2</f>
        <v>30.880585402178127</v>
      </c>
      <c r="N257" s="84">
        <f>(M257+D49)/2</f>
        <v>27.892036723294673</v>
      </c>
      <c r="O257" s="84">
        <f>(N257+D49)/2</f>
        <v>26.397762383852942</v>
      </c>
      <c r="P257" s="84">
        <f>(O257+D49)/2</f>
        <v>25.650625214132077</v>
      </c>
      <c r="Q257" s="169">
        <f>(P257+D49)/2</f>
        <v>25.277056629271648</v>
      </c>
      <c r="R257" s="127"/>
      <c r="S257" s="59"/>
    </row>
    <row r="258" spans="1:19" ht="15">
      <c r="A258" s="102"/>
      <c r="B258" s="157" t="s">
        <v>229</v>
      </c>
      <c r="C258" s="56" t="s">
        <v>85</v>
      </c>
      <c r="D258" s="85" t="str">
        <f>'Historical Dataset'!F217</f>
        <v/>
      </c>
      <c r="E258" s="85">
        <f>'Historical Dataset'!G217</f>
        <v>309.26900559032487</v>
      </c>
      <c r="F258" s="85">
        <f>'Historical Dataset'!H217</f>
        <v>328.73926061738899</v>
      </c>
      <c r="G258" s="85">
        <f>'Historical Dataset'!I217</f>
        <v>369.1852817674436</v>
      </c>
      <c r="H258" s="85">
        <f>'Historical Dataset'!J217</f>
        <v>355.99250484085053</v>
      </c>
      <c r="I258" s="85">
        <f>'Historical Dataset'!K217</f>
        <v>274.39204732589468</v>
      </c>
      <c r="J258" s="85">
        <f>'Historical Dataset'!L217</f>
        <v>267.09771874079098</v>
      </c>
      <c r="K258" s="85">
        <f>'Historical Dataset'!M217</f>
        <v>194.70564015870187</v>
      </c>
      <c r="L258" s="85">
        <f>'Historical Dataset'!N217</f>
        <v>226.92160706212178</v>
      </c>
      <c r="M258" s="84">
        <f>(L258+D50)/2</f>
        <v>228.24829785799665</v>
      </c>
      <c r="N258" s="84">
        <f>(M258+D50)/2</f>
        <v>228.91164325593411</v>
      </c>
      <c r="O258" s="84">
        <f>(N258+D50)/2</f>
        <v>229.24331595490281</v>
      </c>
      <c r="P258" s="84">
        <f>(O258+D50)/2</f>
        <v>229.40915230438719</v>
      </c>
      <c r="Q258" s="169">
        <f>(P258+D50)/2</f>
        <v>229.49207047912938</v>
      </c>
      <c r="R258" s="121"/>
      <c r="S258" s="59"/>
    </row>
    <row r="259" spans="1:19" ht="15">
      <c r="A259" s="102"/>
      <c r="B259" s="157" t="s">
        <v>230</v>
      </c>
      <c r="C259" s="56" t="s">
        <v>28</v>
      </c>
      <c r="D259" s="85">
        <f>'Historical Dataset'!F219</f>
        <v>262347.609</v>
      </c>
      <c r="E259" s="85">
        <f>'Historical Dataset'!G219</f>
        <v>273376.88199999998</v>
      </c>
      <c r="F259" s="85">
        <f>'Historical Dataset'!H219</f>
        <v>277066.96000000002</v>
      </c>
      <c r="G259" s="85">
        <f>'Historical Dataset'!I219</f>
        <v>276859.90399999998</v>
      </c>
      <c r="H259" s="85">
        <f>'Historical Dataset'!J219</f>
        <v>277333.01400000002</v>
      </c>
      <c r="I259" s="85">
        <f>'Historical Dataset'!K219</f>
        <v>272360.57400000002</v>
      </c>
      <c r="J259" s="85">
        <f>'Historical Dataset'!L219</f>
        <v>267974.46600000001</v>
      </c>
      <c r="K259" s="85">
        <f>'Historical Dataset'!M219</f>
        <v>275774.83299999998</v>
      </c>
      <c r="L259" s="85">
        <f>'Historical Dataset'!N219</f>
        <v>287476.70299999998</v>
      </c>
      <c r="M259" s="84">
        <f>L259+M260+M261</f>
        <v>294551.03198767325</v>
      </c>
      <c r="N259" s="84">
        <f>M259+N260+N261</f>
        <v>302984.54428606981</v>
      </c>
      <c r="O259" s="84">
        <f>N259+O260+O261</f>
        <v>312617.14363386738</v>
      </c>
      <c r="P259" s="84">
        <f>O259+P260+P261</f>
        <v>323267.25952975161</v>
      </c>
      <c r="Q259" s="169">
        <f>P259+Q260+Q261</f>
        <v>334733.56801987649</v>
      </c>
      <c r="R259" s="127"/>
      <c r="S259" s="59"/>
    </row>
    <row r="260" spans="1:19" ht="15">
      <c r="A260" s="102"/>
      <c r="B260" s="157" t="s">
        <v>231</v>
      </c>
      <c r="C260" s="56" t="s">
        <v>28</v>
      </c>
      <c r="D260" s="85">
        <f>'Historical Dataset'!F220</f>
        <v>41516.131999999998</v>
      </c>
      <c r="E260" s="85">
        <f>'Historical Dataset'!G220</f>
        <v>28668.422999999999</v>
      </c>
      <c r="F260" s="85">
        <f>'Historical Dataset'!H220</f>
        <v>21533.351999999999</v>
      </c>
      <c r="G260" s="85">
        <f>'Historical Dataset'!I220</f>
        <v>17073.419000000002</v>
      </c>
      <c r="H260" s="85">
        <f>'Historical Dataset'!J220</f>
        <v>18661.903999999999</v>
      </c>
      <c r="I260" s="85">
        <f>'Historical Dataset'!K220</f>
        <v>12275.326999999999</v>
      </c>
      <c r="J260" s="85">
        <f>'Historical Dataset'!L220</f>
        <v>13817.255999999999</v>
      </c>
      <c r="K260" s="85">
        <f>'Historical Dataset'!M220</f>
        <v>24939.532999999999</v>
      </c>
      <c r="L260" s="85">
        <f>'Historical Dataset'!N220</f>
        <v>29512.68</v>
      </c>
      <c r="M260" s="84">
        <f>M232*M262</f>
        <v>24855.306414592</v>
      </c>
      <c r="N260" s="84">
        <f>N232*N262</f>
        <v>26652.050344063653</v>
      </c>
      <c r="O260" s="84">
        <f>O232*O262</f>
        <v>28372.766068910529</v>
      </c>
      <c r="P260" s="84">
        <f>P232*P262</f>
        <v>29986.077092787225</v>
      </c>
      <c r="Q260" s="169">
        <f>Q232*Q262</f>
        <v>31460.999484477903</v>
      </c>
      <c r="R260" s="127"/>
      <c r="S260" s="59"/>
    </row>
    <row r="261" spans="1:19" ht="15">
      <c r="A261" s="102"/>
      <c r="B261" s="157" t="s">
        <v>232</v>
      </c>
      <c r="C261" s="56" t="s">
        <v>28</v>
      </c>
      <c r="D261" s="85">
        <f>'Historical Dataset'!F221</f>
        <v>-11951.35</v>
      </c>
      <c r="E261" s="85">
        <f>'Historical Dataset'!G221</f>
        <v>-15284.953</v>
      </c>
      <c r="F261" s="85">
        <f>'Historical Dataset'!H221</f>
        <v>-17253.356</v>
      </c>
      <c r="G261" s="85">
        <f>'Historical Dataset'!I221</f>
        <v>-17869.492999999999</v>
      </c>
      <c r="H261" s="85">
        <f>'Historical Dataset'!J221</f>
        <v>-18218.442999999999</v>
      </c>
      <c r="I261" s="85">
        <f>'Historical Dataset'!K221</f>
        <v>-17641.988000000001</v>
      </c>
      <c r="J261" s="85">
        <f>'Historical Dataset'!L221</f>
        <v>-16391.321</v>
      </c>
      <c r="K261" s="85">
        <f>'Historical Dataset'!M221</f>
        <v>-16501.488000000001</v>
      </c>
      <c r="L261" s="85">
        <f>'Historical Dataset'!N221</f>
        <v>-17592.960999999999</v>
      </c>
      <c r="M261" s="84">
        <f>-L259*M263</f>
        <v>-17780.977426918773</v>
      </c>
      <c r="N261" s="84">
        <f>-M259*N263</f>
        <v>-18218.538045667123</v>
      </c>
      <c r="O261" s="84">
        <f>-N259*O263</f>
        <v>-18740.166721112979</v>
      </c>
      <c r="P261" s="84">
        <f>-O259*P263</f>
        <v>-19335.961196903041</v>
      </c>
      <c r="Q261" s="169">
        <f>-P259*Q263</f>
        <v>-19994.690994353052</v>
      </c>
      <c r="R261" s="59"/>
      <c r="S261" s="59"/>
    </row>
    <row r="262" spans="1:19" ht="15">
      <c r="A262" s="102"/>
      <c r="B262" s="157" t="s">
        <v>80</v>
      </c>
      <c r="C262" s="56" t="s">
        <v>31</v>
      </c>
      <c r="D262" s="87">
        <f t="shared" ref="D262:L262" si="211">IFERROR(D260/D232,"")</f>
        <v>0.34563077665942371</v>
      </c>
      <c r="E262" s="87">
        <f t="shared" si="211"/>
        <v>0.22850101623586236</v>
      </c>
      <c r="F262" s="87">
        <f t="shared" si="211"/>
        <v>0.1617905540445099</v>
      </c>
      <c r="G262" s="87">
        <f t="shared" si="211"/>
        <v>0.12812207055433406</v>
      </c>
      <c r="H262" s="87">
        <f t="shared" si="211"/>
        <v>0.12948864834859838</v>
      </c>
      <c r="I262" s="87">
        <f t="shared" si="211"/>
        <v>7.8010898992081551E-2</v>
      </c>
      <c r="J262" s="87">
        <f t="shared" si="211"/>
        <v>7.2351503346005208E-2</v>
      </c>
      <c r="K262" s="87">
        <f t="shared" si="211"/>
        <v>0.10790588993739264</v>
      </c>
      <c r="L262" s="87">
        <f t="shared" si="211"/>
        <v>0.13458656354316775</v>
      </c>
      <c r="M262" s="88">
        <f>D46</f>
        <v>0.10494765602140586</v>
      </c>
      <c r="N262" s="88">
        <f>D46</f>
        <v>0.10494765602140586</v>
      </c>
      <c r="O262" s="88">
        <f>D46</f>
        <v>0.10494765602140586</v>
      </c>
      <c r="P262" s="88">
        <f>D46</f>
        <v>0.10494765602140586</v>
      </c>
      <c r="Q262" s="153">
        <f>D46</f>
        <v>0.10494765602140586</v>
      </c>
      <c r="R262" s="121"/>
      <c r="S262" s="59"/>
    </row>
    <row r="263" spans="1:19" ht="15">
      <c r="A263" s="102"/>
      <c r="B263" s="157" t="s">
        <v>82</v>
      </c>
      <c r="C263" s="56" t="s">
        <v>31</v>
      </c>
      <c r="D263" s="87"/>
      <c r="E263" s="87">
        <f t="shared" ref="E263:L263" si="212">IFERROR(ABS(E261)/D259,"")</f>
        <v>5.8262215761226928E-2</v>
      </c>
      <c r="F263" s="87">
        <f t="shared" si="212"/>
        <v>6.3111978868791108E-2</v>
      </c>
      <c r="G263" s="87">
        <f t="shared" si="212"/>
        <v>6.449521444202512E-2</v>
      </c>
      <c r="H263" s="87">
        <f t="shared" si="212"/>
        <v>6.5803833407382814E-2</v>
      </c>
      <c r="I263" s="87">
        <f t="shared" si="212"/>
        <v>6.3613010746711898E-2</v>
      </c>
      <c r="J263" s="87">
        <f t="shared" si="212"/>
        <v>6.0182429340892775E-2</v>
      </c>
      <c r="K263" s="87">
        <f t="shared" si="212"/>
        <v>6.1578583386373835E-2</v>
      </c>
      <c r="L263" s="87">
        <f t="shared" si="212"/>
        <v>6.3794657433443175E-2</v>
      </c>
      <c r="M263" s="88">
        <f>D47</f>
        <v>6.1851890053569926E-2</v>
      </c>
      <c r="N263" s="88">
        <f>D47</f>
        <v>6.1851890053569926E-2</v>
      </c>
      <c r="O263" s="88">
        <f>D47</f>
        <v>6.1851890053569926E-2</v>
      </c>
      <c r="P263" s="88">
        <f>D47</f>
        <v>6.1851890053569926E-2</v>
      </c>
      <c r="Q263" s="153">
        <f>D47</f>
        <v>6.1851890053569926E-2</v>
      </c>
      <c r="R263" s="127"/>
      <c r="S263" s="59"/>
    </row>
    <row r="264" spans="1:19" ht="15">
      <c r="A264" s="102"/>
      <c r="B264" s="157" t="s">
        <v>233</v>
      </c>
      <c r="C264" s="56" t="s">
        <v>28</v>
      </c>
      <c r="D264" s="85">
        <f>'Historical Dataset'!F228</f>
        <v>125681.844</v>
      </c>
      <c r="E264" s="85">
        <f>'Historical Dataset'!G228</f>
        <v>125589.51700000001</v>
      </c>
      <c r="F264" s="85">
        <f>'Historical Dataset'!H228</f>
        <v>121539.72099999999</v>
      </c>
      <c r="G264" s="85">
        <f>'Historical Dataset'!I228</f>
        <v>119963.76700000001</v>
      </c>
      <c r="H264" s="85">
        <f>'Historical Dataset'!J228</f>
        <v>111702.71600000001</v>
      </c>
      <c r="I264" s="85">
        <f>'Historical Dataset'!K228</f>
        <v>105607.64499999999</v>
      </c>
      <c r="J264" s="85">
        <f>'Historical Dataset'!L228</f>
        <v>116269.37399999998</v>
      </c>
      <c r="K264" s="85">
        <f>'Historical Dataset'!M228</f>
        <v>99156.053999999989</v>
      </c>
      <c r="L264" s="85">
        <f>'Historical Dataset'!N228</f>
        <v>88245.025999999998</v>
      </c>
      <c r="M264" s="84">
        <f>L264*(1-D51)</f>
        <v>78534.636057024574</v>
      </c>
      <c r="N264" s="84">
        <f>M264*(1-D51)</f>
        <v>69892.767220775771</v>
      </c>
      <c r="O264" s="84">
        <f>N264*(1-D51)</f>
        <v>62201.840551352579</v>
      </c>
      <c r="P264" s="84">
        <f>O264*(1-D51)</f>
        <v>55357.215371861843</v>
      </c>
      <c r="Q264" s="169">
        <f>P264*(1-D51)</f>
        <v>49265.765555550934</v>
      </c>
      <c r="R264" s="127"/>
      <c r="S264" s="59"/>
    </row>
    <row r="265" spans="1:19" ht="15">
      <c r="A265" s="102"/>
      <c r="B265" s="157" t="s">
        <v>234</v>
      </c>
      <c r="C265" s="56" t="s">
        <v>28</v>
      </c>
      <c r="D265" s="85">
        <f>'Historical Dataset'!F229</f>
        <v>3537.9229999999998</v>
      </c>
      <c r="E265" s="85">
        <f>'Historical Dataset'!G229</f>
        <v>5269.0289999999995</v>
      </c>
      <c r="F265" s="85">
        <f>'Historical Dataset'!H229</f>
        <v>4693.9610000000002</v>
      </c>
      <c r="G265" s="85">
        <f>'Historical Dataset'!I229</f>
        <v>3884.2910000000002</v>
      </c>
      <c r="H265" s="85">
        <f>'Historical Dataset'!J229</f>
        <v>6006.9210000000003</v>
      </c>
      <c r="I265" s="85">
        <f>'Historical Dataset'!K229</f>
        <v>7935.82</v>
      </c>
      <c r="J265" s="85">
        <f>'Historical Dataset'!L229</f>
        <v>18231.189999999999</v>
      </c>
      <c r="K265" s="85">
        <f>'Historical Dataset'!M229</f>
        <v>10274.767</v>
      </c>
      <c r="L265" s="85">
        <f>'Historical Dataset'!N229</f>
        <v>7587.4780000000001</v>
      </c>
      <c r="M265" s="84">
        <f>MAX(0,L265+M270+M271)</f>
        <v>19751.380605061506</v>
      </c>
      <c r="N265" s="84">
        <f>MAX(0,M265+N270+N271)</f>
        <v>28971.727843811972</v>
      </c>
      <c r="O265" s="84">
        <f>MAX(0,N265+O270+O271)</f>
        <v>40352.39374865788</v>
      </c>
      <c r="P265" s="84">
        <f>MAX(0,O265+P270+P271)</f>
        <v>54493.574459282958</v>
      </c>
      <c r="Q265" s="169">
        <f>MAX(0,P265+Q270+Q271)</f>
        <v>71267.039331931359</v>
      </c>
      <c r="R265" s="127"/>
      <c r="S265" s="59"/>
    </row>
    <row r="266" spans="1:19" ht="15">
      <c r="A266" s="102"/>
      <c r="B266" s="157" t="s">
        <v>235</v>
      </c>
      <c r="C266" s="56" t="s">
        <v>28</v>
      </c>
      <c r="D266" s="85">
        <f t="shared" ref="D266:Q266" si="213">D264-D265</f>
        <v>122143.921</v>
      </c>
      <c r="E266" s="85">
        <f t="shared" si="213"/>
        <v>120320.48800000001</v>
      </c>
      <c r="F266" s="85">
        <f t="shared" si="213"/>
        <v>116845.75999999999</v>
      </c>
      <c r="G266" s="85">
        <f t="shared" si="213"/>
        <v>116079.47600000001</v>
      </c>
      <c r="H266" s="85">
        <f t="shared" si="213"/>
        <v>105695.79500000001</v>
      </c>
      <c r="I266" s="85">
        <f t="shared" si="213"/>
        <v>97671.824999999983</v>
      </c>
      <c r="J266" s="85">
        <f t="shared" si="213"/>
        <v>98038.183999999979</v>
      </c>
      <c r="K266" s="85">
        <f t="shared" si="213"/>
        <v>88881.286999999982</v>
      </c>
      <c r="L266" s="85">
        <f t="shared" si="213"/>
        <v>80657.547999999995</v>
      </c>
      <c r="M266" s="84">
        <f t="shared" si="213"/>
        <v>58783.255451963065</v>
      </c>
      <c r="N266" s="84">
        <f t="shared" si="213"/>
        <v>40921.039376963803</v>
      </c>
      <c r="O266" s="84">
        <f t="shared" si="213"/>
        <v>21849.4468026947</v>
      </c>
      <c r="P266" s="84">
        <f t="shared" si="213"/>
        <v>863.64091257888504</v>
      </c>
      <c r="Q266" s="169">
        <f t="shared" si="213"/>
        <v>-22001.273776380425</v>
      </c>
      <c r="R266" s="121"/>
      <c r="S266" s="59"/>
    </row>
    <row r="267" spans="1:19" ht="15">
      <c r="A267" s="102"/>
      <c r="B267" s="157" t="s">
        <v>236</v>
      </c>
      <c r="C267" s="56" t="s">
        <v>28</v>
      </c>
      <c r="D267" s="85"/>
      <c r="E267" s="85">
        <f t="shared" ref="E267:Q267" si="214">E264-D264</f>
        <v>-92.326999999990221</v>
      </c>
      <c r="F267" s="85">
        <f t="shared" si="214"/>
        <v>-4049.7960000000166</v>
      </c>
      <c r="G267" s="85">
        <f t="shared" si="214"/>
        <v>-1575.9539999999834</v>
      </c>
      <c r="H267" s="85">
        <f t="shared" si="214"/>
        <v>-8261.0509999999922</v>
      </c>
      <c r="I267" s="85">
        <f t="shared" si="214"/>
        <v>-6095.0710000000254</v>
      </c>
      <c r="J267" s="85">
        <f t="shared" si="214"/>
        <v>10661.728999999992</v>
      </c>
      <c r="K267" s="85">
        <f t="shared" si="214"/>
        <v>-17113.319999999992</v>
      </c>
      <c r="L267" s="85">
        <f t="shared" si="214"/>
        <v>-10911.027999999991</v>
      </c>
      <c r="M267" s="84">
        <f t="shared" si="214"/>
        <v>-9710.3899429754238</v>
      </c>
      <c r="N267" s="84">
        <f t="shared" si="214"/>
        <v>-8641.8688362488028</v>
      </c>
      <c r="O267" s="84">
        <f t="shared" si="214"/>
        <v>-7690.9266694231919</v>
      </c>
      <c r="P267" s="84">
        <f t="shared" si="214"/>
        <v>-6844.6251794907366</v>
      </c>
      <c r="Q267" s="169">
        <f t="shared" si="214"/>
        <v>-6091.4498163109092</v>
      </c>
      <c r="R267" s="127"/>
      <c r="S267" s="59"/>
    </row>
    <row r="268" spans="1:19" ht="15">
      <c r="A268" s="102"/>
      <c r="B268" s="157" t="s">
        <v>237</v>
      </c>
      <c r="C268" s="56" t="s">
        <v>28</v>
      </c>
      <c r="D268" s="85">
        <f>'Historical Dataset'!F249</f>
        <v>0</v>
      </c>
      <c r="E268" s="85">
        <f>'Historical Dataset'!G249</f>
        <v>28266.65</v>
      </c>
      <c r="F268" s="85">
        <f>'Historical Dataset'!H249</f>
        <v>26839.030999999999</v>
      </c>
      <c r="G268" s="85">
        <f>'Historical Dataset'!I249</f>
        <v>23561.210999999999</v>
      </c>
      <c r="H268" s="85">
        <f>'Historical Dataset'!J249</f>
        <v>33489.802000000003</v>
      </c>
      <c r="I268" s="85">
        <f>'Historical Dataset'!K249</f>
        <v>28553.351999999999</v>
      </c>
      <c r="J268" s="85">
        <f>'Historical Dataset'!L249</f>
        <v>32651.766</v>
      </c>
      <c r="K268" s="85">
        <f>'Historical Dataset'!M249</f>
        <v>28374.216</v>
      </c>
      <c r="L268" s="85">
        <f>'Historical Dataset'!N249</f>
        <v>39767.938000000002</v>
      </c>
      <c r="M268" s="84">
        <f>M245+ABS(M261)-M255</f>
        <v>48101.216887422794</v>
      </c>
      <c r="N268" s="84">
        <f>N245+ABS(N261)-N255</f>
        <v>46248.339330770163</v>
      </c>
      <c r="O268" s="84">
        <f>O245+ABS(O261)-O255</f>
        <v>49513.852286335357</v>
      </c>
      <c r="P268" s="84">
        <f>P245+ABS(P261)-P255</f>
        <v>53346.812992472813</v>
      </c>
      <c r="Q268" s="169">
        <f>Q245+ABS(Q261)-Q255</f>
        <v>56830.265911570386</v>
      </c>
      <c r="R268" s="127"/>
      <c r="S268" s="59"/>
    </row>
    <row r="269" spans="1:19" ht="15">
      <c r="A269" s="102"/>
      <c r="B269" s="157" t="s">
        <v>238</v>
      </c>
      <c r="C269" s="56" t="s">
        <v>28</v>
      </c>
      <c r="D269" s="85"/>
      <c r="E269" s="85">
        <f>E239*(1-D29)+ABS(E261)-E260-E255</f>
        <v>9842.686455858453</v>
      </c>
      <c r="F269" s="85">
        <f>F239*(1-D29)+ABS(F261)-F260-F255</f>
        <v>17966.506097627665</v>
      </c>
      <c r="G269" s="85">
        <f>G239*(1-D29)+ABS(G261)-G260-G255</f>
        <v>13081.212621285486</v>
      </c>
      <c r="H269" s="85">
        <f>H239*(1-D29)+ABS(H261)-H260-H255</f>
        <v>10056.776488574589</v>
      </c>
      <c r="I269" s="85">
        <f>I239*(1-D29)+ABS(I261)-I260-I255</f>
        <v>5484.3587108914417</v>
      </c>
      <c r="J269" s="85">
        <f>J239*(1-D29)+ABS(J261)-J260-J255</f>
        <v>15166.816791195868</v>
      </c>
      <c r="K269" s="85">
        <f>K239*(1-D29)+ABS(K261)-K260-K255</f>
        <v>-9082.4437516092839</v>
      </c>
      <c r="L269" s="85">
        <f>L239*(1-D29)+ABS(L261)-L260-L255</f>
        <v>2465.0335757849316</v>
      </c>
      <c r="M269" s="84">
        <f>M239*(1-D29)+ABS(M261)-M260-M255</f>
        <v>26511.641878990886</v>
      </c>
      <c r="N269" s="84">
        <f>N239*(1-D29)+ABS(N261)-N260-N255</f>
        <v>22275.108209573431</v>
      </c>
      <c r="O269" s="84">
        <f>O239*(1-D29)+ABS(O261)-O260-O255</f>
        <v>23325.674153829994</v>
      </c>
      <c r="P269" s="84">
        <f>P239*(1-D29)+ABS(P261)-P260-P255</f>
        <v>25049.897851750164</v>
      </c>
      <c r="Q269" s="169">
        <f>Q239*(1-D29)+ABS(Q261)-Q260-Q255</f>
        <v>26547.270796453518</v>
      </c>
      <c r="R269" s="127"/>
      <c r="S269" s="59" t="s">
        <v>239</v>
      </c>
    </row>
    <row r="270" spans="1:19" ht="15">
      <c r="A270" s="102"/>
      <c r="B270" s="157" t="s">
        <v>240</v>
      </c>
      <c r="C270" s="56" t="s">
        <v>28</v>
      </c>
      <c r="D270" s="85"/>
      <c r="E270" s="85">
        <f t="shared" ref="E270:Q270" si="215">E245+ABS(E261)-E260-E255+E267</f>
        <v>2839.8700000000081</v>
      </c>
      <c r="F270" s="85">
        <f t="shared" si="215"/>
        <v>6768.1390000000029</v>
      </c>
      <c r="G270" s="85">
        <f t="shared" si="215"/>
        <v>6828.7050000000163</v>
      </c>
      <c r="H270" s="85">
        <f t="shared" si="215"/>
        <v>-8682.3659999999836</v>
      </c>
      <c r="I270" s="85">
        <f t="shared" si="215"/>
        <v>-11473.455000000029</v>
      </c>
      <c r="J270" s="85">
        <f t="shared" si="215"/>
        <v>8474.2839999999906</v>
      </c>
      <c r="K270" s="85">
        <f t="shared" si="215"/>
        <v>-25167.661999999993</v>
      </c>
      <c r="L270" s="85">
        <f t="shared" si="215"/>
        <v>-11615.027999999969</v>
      </c>
      <c r="M270" s="84">
        <f t="shared" si="215"/>
        <v>13535.52052985537</v>
      </c>
      <c r="N270" s="84">
        <f t="shared" si="215"/>
        <v>10954.420150457707</v>
      </c>
      <c r="O270" s="84">
        <f t="shared" si="215"/>
        <v>13450.159548001637</v>
      </c>
      <c r="P270" s="84">
        <f t="shared" si="215"/>
        <v>16516.110720194851</v>
      </c>
      <c r="Q270" s="169">
        <f t="shared" si="215"/>
        <v>19277.816610781574</v>
      </c>
      <c r="R270" s="121"/>
      <c r="S270" s="59" t="s">
        <v>241</v>
      </c>
    </row>
    <row r="271" spans="1:19" ht="15">
      <c r="A271" s="102"/>
      <c r="B271" s="157" t="s">
        <v>242</v>
      </c>
      <c r="C271" s="56" t="s">
        <v>28</v>
      </c>
      <c r="D271" s="85">
        <f>'Historical Dataset'!F268</f>
        <v>-585.44000000000005</v>
      </c>
      <c r="E271" s="85">
        <f>'Historical Dataset'!G268</f>
        <v>-975.73400000000004</v>
      </c>
      <c r="F271" s="85">
        <f>'Historical Dataset'!H268</f>
        <v>0</v>
      </c>
      <c r="G271" s="85">
        <f>'Historical Dataset'!I268</f>
        <v>0</v>
      </c>
      <c r="H271" s="85">
        <f>'Historical Dataset'!J268</f>
        <v>0</v>
      </c>
      <c r="I271" s="85">
        <f>'Historical Dataset'!K268</f>
        <v>0</v>
      </c>
      <c r="J271" s="85">
        <f>'Historical Dataset'!L268</f>
        <v>0</v>
      </c>
      <c r="K271" s="85">
        <f>'Historical Dataset'!M268</f>
        <v>0</v>
      </c>
      <c r="L271" s="85">
        <f>'Historical Dataset'!N268</f>
        <v>-1756.32</v>
      </c>
      <c r="M271" s="84">
        <f>-M247*D20</f>
        <v>-1371.6179247938642</v>
      </c>
      <c r="N271" s="84">
        <f>-N247*D20</f>
        <v>-1734.0729117072415</v>
      </c>
      <c r="O271" s="84">
        <f>-O247*D20</f>
        <v>-2069.4936431557294</v>
      </c>
      <c r="P271" s="84">
        <f>-P247*D20</f>
        <v>-2374.9300095697713</v>
      </c>
      <c r="Q271" s="169">
        <f>-Q247*D20</f>
        <v>-2504.3517381331781</v>
      </c>
      <c r="R271" s="127"/>
      <c r="S271" s="59"/>
    </row>
    <row r="272" spans="1:19" ht="15">
      <c r="A272" s="102"/>
      <c r="B272" s="157"/>
      <c r="C272" s="56"/>
      <c r="D272" s="57"/>
      <c r="E272" s="57"/>
      <c r="F272" s="57"/>
      <c r="G272" s="57"/>
      <c r="H272" s="57"/>
      <c r="I272" s="57"/>
      <c r="J272" s="57"/>
      <c r="K272" s="57"/>
      <c r="L272" s="57"/>
      <c r="M272" s="58"/>
      <c r="N272" s="58"/>
      <c r="O272" s="58"/>
      <c r="P272" s="58"/>
      <c r="Q272" s="158"/>
      <c r="R272" s="127"/>
      <c r="S272" s="59"/>
    </row>
    <row r="273" spans="1:19" ht="25.5" customHeight="1">
      <c r="A273" s="102"/>
      <c r="B273" s="197" t="s">
        <v>243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9"/>
      <c r="R273" s="59"/>
      <c r="S273" s="70"/>
    </row>
    <row r="274" spans="1:19" ht="48.75" customHeight="1">
      <c r="A274" s="102"/>
      <c r="B274" s="159" t="s">
        <v>244</v>
      </c>
      <c r="C274" s="73"/>
      <c r="D274" s="74"/>
      <c r="E274" s="74"/>
      <c r="F274" s="74"/>
      <c r="G274" s="74"/>
      <c r="H274" s="74"/>
      <c r="I274" s="74"/>
      <c r="J274" s="74"/>
      <c r="K274" s="74"/>
      <c r="L274" s="74"/>
      <c r="M274" s="75"/>
      <c r="N274" s="75"/>
      <c r="O274" s="75"/>
      <c r="P274" s="75"/>
      <c r="Q274" s="171"/>
      <c r="R274" s="121"/>
      <c r="S274" s="76"/>
    </row>
    <row r="275" spans="1:19" ht="15">
      <c r="A275" s="102"/>
      <c r="B275" s="142" t="s">
        <v>106</v>
      </c>
      <c r="C275" s="77" t="s">
        <v>19</v>
      </c>
      <c r="D275" s="78" t="s">
        <v>245</v>
      </c>
      <c r="E275" s="78" t="s">
        <v>246</v>
      </c>
      <c r="F275" s="78" t="s">
        <v>247</v>
      </c>
      <c r="G275" s="78" t="s">
        <v>248</v>
      </c>
      <c r="H275" s="78" t="s">
        <v>249</v>
      </c>
      <c r="I275" s="78" t="s">
        <v>250</v>
      </c>
      <c r="J275" s="78" t="s">
        <v>251</v>
      </c>
      <c r="K275" s="78" t="s">
        <v>252</v>
      </c>
      <c r="L275" s="78" t="s">
        <v>253</v>
      </c>
      <c r="M275" s="79" t="s">
        <v>254</v>
      </c>
      <c r="N275" s="79" t="s">
        <v>255</v>
      </c>
      <c r="O275" s="79" t="s">
        <v>256</v>
      </c>
      <c r="P275" s="79" t="s">
        <v>257</v>
      </c>
      <c r="Q275" s="172" t="s">
        <v>258</v>
      </c>
      <c r="R275" s="127"/>
      <c r="S275" s="80" t="s">
        <v>259</v>
      </c>
    </row>
    <row r="276" spans="1:19" ht="15">
      <c r="A276" s="102"/>
      <c r="B276" s="157" t="s">
        <v>260</v>
      </c>
      <c r="C276" s="56" t="s">
        <v>28</v>
      </c>
      <c r="D276" s="85">
        <f>'Historical Dataset'!F192</f>
        <v>58398.017</v>
      </c>
      <c r="E276" s="85">
        <f>'Historical Dataset'!G192</f>
        <v>60622.423000000003</v>
      </c>
      <c r="F276" s="85">
        <f>'Historical Dataset'!H192</f>
        <v>56230.862000000001</v>
      </c>
      <c r="G276" s="85">
        <f>'Historical Dataset'!I192</f>
        <v>54896.798999999999</v>
      </c>
      <c r="H276" s="85">
        <f>'Historical Dataset'!J192</f>
        <v>56869.445</v>
      </c>
      <c r="I276" s="85">
        <f>'Historical Dataset'!K192</f>
        <v>59633.468000000001</v>
      </c>
      <c r="J276" s="85">
        <f>'Historical Dataset'!L192</f>
        <v>56842.841</v>
      </c>
      <c r="K276" s="85">
        <f>'Historical Dataset'!M192</f>
        <v>87314.161999999997</v>
      </c>
      <c r="L276" s="85">
        <f>'Historical Dataset'!N192</f>
        <v>109335.56600000001</v>
      </c>
      <c r="M276" s="84">
        <f>L276+M245+M271</f>
        <v>127071.35688875789</v>
      </c>
      <c r="N276" s="84">
        <f>M276+N245+N271</f>
        <v>149493.89452985881</v>
      </c>
      <c r="O276" s="84">
        <f>N276+O245+O271</f>
        <v>176253.61080153109</v>
      </c>
      <c r="P276" s="84">
        <f>O276+P245+P271</f>
        <v>206962.79100672231</v>
      </c>
      <c r="Q276" s="169">
        <f>P276+Q245+Q271</f>
        <v>239345.46692290547</v>
      </c>
      <c r="R276" s="127"/>
      <c r="S276" s="59"/>
    </row>
    <row r="277" spans="1:19" ht="15">
      <c r="A277" s="102"/>
      <c r="B277" s="157" t="s">
        <v>261</v>
      </c>
      <c r="C277" s="56" t="s">
        <v>31</v>
      </c>
      <c r="D277" s="87">
        <f t="shared" ref="D277:Q277" si="216">IFERROR(D245/D276,"")</f>
        <v>1.9135379031791437</v>
      </c>
      <c r="E277" s="87">
        <f t="shared" si="216"/>
        <v>-4.7074578328879908E-2</v>
      </c>
      <c r="F277" s="87">
        <f t="shared" si="216"/>
        <v>2.5145799827861691E-3</v>
      </c>
      <c r="G277" s="87">
        <f t="shared" si="216"/>
        <v>-1.8163937026638009E-2</v>
      </c>
      <c r="H277" s="87">
        <f t="shared" si="216"/>
        <v>2.5937654218359363E-2</v>
      </c>
      <c r="I277" s="87">
        <f t="shared" si="216"/>
        <v>-6.3810291898502347E-2</v>
      </c>
      <c r="J277" s="87">
        <f t="shared" si="216"/>
        <v>-9.7681007886287738E-2</v>
      </c>
      <c r="K277" s="87">
        <f t="shared" si="216"/>
        <v>0.34450050611491861</v>
      </c>
      <c r="L277" s="87">
        <f t="shared" si="216"/>
        <v>0.22376942741577815</v>
      </c>
      <c r="M277" s="88">
        <f t="shared" si="216"/>
        <v>0.15036755159763462</v>
      </c>
      <c r="N277" s="88">
        <f t="shared" si="216"/>
        <v>0.16158927847038793</v>
      </c>
      <c r="O277" s="88">
        <f t="shared" si="216"/>
        <v>0.16356663437261948</v>
      </c>
      <c r="P277" s="88">
        <f t="shared" si="216"/>
        <v>0.15985535396885134</v>
      </c>
      <c r="Q277" s="153">
        <f t="shared" si="216"/>
        <v>0.14576013535093871</v>
      </c>
      <c r="R277" s="127"/>
      <c r="S277" s="59"/>
    </row>
    <row r="278" spans="1:19" ht="15">
      <c r="A278" s="102"/>
      <c r="B278" s="157" t="s">
        <v>262</v>
      </c>
      <c r="C278" s="56" t="s">
        <v>28</v>
      </c>
      <c r="D278" s="85"/>
      <c r="E278" s="85"/>
      <c r="F278" s="85"/>
      <c r="G278" s="85"/>
      <c r="H278" s="85"/>
      <c r="I278" s="85"/>
      <c r="J278" s="85"/>
      <c r="K278" s="85"/>
      <c r="L278" s="85"/>
      <c r="M278" s="84">
        <f>M245-D27*L276</f>
        <v>-234.05281184825799</v>
      </c>
      <c r="N278" s="84">
        <f>N245-D27*M276</f>
        <v>1677.6875191868858</v>
      </c>
      <c r="O278" s="84">
        <f>O245-D27*N276</f>
        <v>2383.7399724959869</v>
      </c>
      <c r="P278" s="84">
        <f>P245-D27*O276</f>
        <v>1904.8464639701488</v>
      </c>
      <c r="Q278" s="169">
        <f>Q245-D27*P276</f>
        <v>-1724.6900747728505</v>
      </c>
      <c r="R278" s="121"/>
      <c r="S278" s="59" t="s">
        <v>263</v>
      </c>
    </row>
    <row r="279" spans="1:19" ht="15">
      <c r="A279" s="102"/>
      <c r="B279" s="157" t="s">
        <v>264</v>
      </c>
      <c r="C279" s="56" t="s">
        <v>34</v>
      </c>
      <c r="D279" s="90"/>
      <c r="E279" s="90"/>
      <c r="F279" s="90"/>
      <c r="G279" s="90"/>
      <c r="H279" s="90"/>
      <c r="I279" s="90"/>
      <c r="J279" s="90"/>
      <c r="K279" s="90"/>
      <c r="L279" s="90"/>
      <c r="M279" s="91">
        <f>1/(1+D27)^1</f>
        <v>0.84968986319993201</v>
      </c>
      <c r="N279" s="91">
        <f>1/(1+D27)^2</f>
        <v>0.72197286362471913</v>
      </c>
      <c r="O279" s="91">
        <f>1/(1+D27)^3</f>
        <v>0.61345302372735067</v>
      </c>
      <c r="P279" s="91">
        <f>1/(1+D27)^4</f>
        <v>0.52124481581047721</v>
      </c>
      <c r="Q279" s="173">
        <f>1/(1+D27)^5</f>
        <v>0.44289643623967817</v>
      </c>
      <c r="R279" s="127"/>
      <c r="S279" s="59"/>
    </row>
    <row r="280" spans="1:19" ht="15">
      <c r="A280" s="102"/>
      <c r="B280" s="157" t="s">
        <v>265</v>
      </c>
      <c r="C280" s="56" t="s">
        <v>28</v>
      </c>
      <c r="D280" s="85"/>
      <c r="E280" s="85"/>
      <c r="F280" s="85"/>
      <c r="G280" s="85"/>
      <c r="H280" s="85"/>
      <c r="I280" s="85"/>
      <c r="J280" s="85"/>
      <c r="K280" s="85"/>
      <c r="L280" s="85"/>
      <c r="M280" s="84">
        <f>M278*M279</f>
        <v>-198.87230168090576</v>
      </c>
      <c r="N280" s="84">
        <f>N278*N279</f>
        <v>1211.2448624948067</v>
      </c>
      <c r="O280" s="84">
        <f>O278*O279</f>
        <v>1462.3124939074148</v>
      </c>
      <c r="P280" s="84">
        <f>P278*P279</f>
        <v>992.89134425935902</v>
      </c>
      <c r="Q280" s="169">
        <f>Q278*Q279</f>
        <v>-763.85908773483959</v>
      </c>
      <c r="R280" s="127"/>
      <c r="S280" s="59"/>
    </row>
    <row r="281" spans="1:19" ht="15">
      <c r="A281" s="102"/>
      <c r="B281" s="157" t="s">
        <v>266</v>
      </c>
      <c r="C281" s="56" t="s">
        <v>28</v>
      </c>
      <c r="D281" s="85"/>
      <c r="E281" s="85"/>
      <c r="F281" s="85"/>
      <c r="G281" s="85"/>
      <c r="H281" s="85"/>
      <c r="I281" s="85"/>
      <c r="J281" s="85"/>
      <c r="K281" s="85"/>
      <c r="L281" s="85"/>
      <c r="M281" s="84"/>
      <c r="N281" s="84"/>
      <c r="O281" s="84"/>
      <c r="P281" s="84"/>
      <c r="Q281" s="169">
        <f>Q278*(1+D32)/(D27-D32)</f>
        <v>-14926.56299331712</v>
      </c>
      <c r="R281" s="127"/>
      <c r="S281" s="59"/>
    </row>
    <row r="282" spans="1:19" ht="15">
      <c r="A282" s="102"/>
      <c r="B282" s="157" t="s">
        <v>267</v>
      </c>
      <c r="C282" s="56" t="s">
        <v>28</v>
      </c>
      <c r="D282" s="85"/>
      <c r="E282" s="85"/>
      <c r="F282" s="85"/>
      <c r="G282" s="85"/>
      <c r="H282" s="85"/>
      <c r="I282" s="85"/>
      <c r="J282" s="85"/>
      <c r="K282" s="85"/>
      <c r="L282" s="85"/>
      <c r="M282" s="84"/>
      <c r="N282" s="84"/>
      <c r="O282" s="84"/>
      <c r="P282" s="84"/>
      <c r="Q282" s="169">
        <f>L276+SUM(M280:Q280)+Q281*Q279</f>
        <v>105428.36175619863</v>
      </c>
      <c r="R282" s="121"/>
      <c r="S282" s="59" t="s">
        <v>268</v>
      </c>
    </row>
    <row r="283" spans="1:19" ht="15">
      <c r="A283" s="102"/>
      <c r="B283" s="157" t="s">
        <v>269</v>
      </c>
      <c r="C283" s="56" t="s">
        <v>22</v>
      </c>
      <c r="D283" s="82"/>
      <c r="E283" s="82"/>
      <c r="F283" s="82"/>
      <c r="G283" s="82"/>
      <c r="H283" s="82"/>
      <c r="I283" s="82"/>
      <c r="J283" s="82"/>
      <c r="K283" s="82"/>
      <c r="L283" s="82"/>
      <c r="M283" s="83"/>
      <c r="N283" s="83"/>
      <c r="O283" s="83"/>
      <c r="P283" s="83"/>
      <c r="Q283" s="160">
        <f>Q282/D20</f>
        <v>54.02518851778499</v>
      </c>
      <c r="R283" s="127"/>
      <c r="S283" s="59"/>
    </row>
    <row r="284" spans="1:19" ht="15">
      <c r="A284" s="102"/>
      <c r="B284" s="157" t="s">
        <v>270</v>
      </c>
      <c r="C284" s="56" t="s">
        <v>34</v>
      </c>
      <c r="D284" s="90"/>
      <c r="E284" s="90"/>
      <c r="F284" s="90"/>
      <c r="G284" s="90"/>
      <c r="H284" s="90"/>
      <c r="I284" s="90"/>
      <c r="J284" s="90"/>
      <c r="K284" s="90"/>
      <c r="L284" s="90"/>
      <c r="M284" s="91">
        <f>1/(1+D27)^1</f>
        <v>0.84968986319993201</v>
      </c>
      <c r="N284" s="91">
        <f>1/(1+D27)^2</f>
        <v>0.72197286362471913</v>
      </c>
      <c r="O284" s="91">
        <f>1/(1+D27)^3</f>
        <v>0.61345302372735067</v>
      </c>
      <c r="P284" s="91">
        <f>1/(1+D27)^4</f>
        <v>0.52124481581047721</v>
      </c>
      <c r="Q284" s="173">
        <f>1/(1+D27)^5</f>
        <v>0.44289643623967817</v>
      </c>
      <c r="R284" s="127"/>
      <c r="S284" s="59"/>
    </row>
    <row r="285" spans="1:19" ht="15">
      <c r="A285" s="102"/>
      <c r="B285" s="157" t="s">
        <v>271</v>
      </c>
      <c r="C285" s="56" t="s">
        <v>28</v>
      </c>
      <c r="D285" s="85"/>
      <c r="E285" s="85"/>
      <c r="F285" s="85"/>
      <c r="G285" s="85"/>
      <c r="H285" s="85"/>
      <c r="I285" s="85"/>
      <c r="J285" s="85"/>
      <c r="K285" s="85"/>
      <c r="L285" s="85"/>
      <c r="M285" s="84">
        <f>M270*M284</f>
        <v>11500.994587352681</v>
      </c>
      <c r="N285" s="84">
        <f>N270*N284</f>
        <v>7908.7940853742775</v>
      </c>
      <c r="O285" s="84">
        <f>O270*O284</f>
        <v>8251.0410443369001</v>
      </c>
      <c r="P285" s="84">
        <f>P270*P284</f>
        <v>8608.9370902534138</v>
      </c>
      <c r="Q285" s="169">
        <f>Q270*Q284</f>
        <v>8538.0762753972303</v>
      </c>
      <c r="R285" s="59"/>
      <c r="S285" s="59"/>
    </row>
    <row r="286" spans="1:19" ht="15">
      <c r="A286" s="102"/>
      <c r="B286" s="157" t="s">
        <v>272</v>
      </c>
      <c r="C286" s="56" t="s">
        <v>28</v>
      </c>
      <c r="D286" s="85"/>
      <c r="E286" s="85"/>
      <c r="F286" s="85"/>
      <c r="G286" s="85"/>
      <c r="H286" s="85"/>
      <c r="I286" s="85"/>
      <c r="J286" s="85"/>
      <c r="K286" s="85"/>
      <c r="L286" s="85"/>
      <c r="M286" s="84"/>
      <c r="N286" s="84"/>
      <c r="O286" s="84"/>
      <c r="P286" s="84"/>
      <c r="Q286" s="169">
        <f>Q270*(1+D32)/(D27-D32)</f>
        <v>166842.46533531221</v>
      </c>
      <c r="R286" s="121"/>
      <c r="S286" s="59"/>
    </row>
    <row r="287" spans="1:19" ht="15">
      <c r="A287" s="102"/>
      <c r="B287" s="157" t="s">
        <v>273</v>
      </c>
      <c r="C287" s="56" t="s">
        <v>28</v>
      </c>
      <c r="D287" s="85"/>
      <c r="E287" s="85"/>
      <c r="F287" s="85"/>
      <c r="G287" s="85"/>
      <c r="H287" s="85"/>
      <c r="I287" s="85"/>
      <c r="J287" s="85"/>
      <c r="K287" s="85"/>
      <c r="L287" s="85"/>
      <c r="M287" s="84"/>
      <c r="N287" s="84"/>
      <c r="O287" s="84"/>
      <c r="P287" s="84"/>
      <c r="Q287" s="169">
        <f>SUM(M285:Q285)+Q286*Q284</f>
        <v>118701.77639316631</v>
      </c>
      <c r="R287" s="127"/>
      <c r="S287" s="59"/>
    </row>
    <row r="288" spans="1:19" ht="15">
      <c r="A288" s="102"/>
      <c r="B288" s="157" t="s">
        <v>274</v>
      </c>
      <c r="C288" s="56" t="s">
        <v>22</v>
      </c>
      <c r="D288" s="82"/>
      <c r="E288" s="82"/>
      <c r="F288" s="82"/>
      <c r="G288" s="82"/>
      <c r="H288" s="82"/>
      <c r="I288" s="82"/>
      <c r="J288" s="82"/>
      <c r="K288" s="82"/>
      <c r="L288" s="82"/>
      <c r="M288" s="83"/>
      <c r="N288" s="83"/>
      <c r="O288" s="83"/>
      <c r="P288" s="83"/>
      <c r="Q288" s="160">
        <f>Q287/D20</f>
        <v>60.826951497799655</v>
      </c>
      <c r="R288" s="127"/>
      <c r="S288" s="59"/>
    </row>
    <row r="289" spans="1:19" ht="15">
      <c r="A289" s="102"/>
      <c r="B289" s="157" t="s">
        <v>275</v>
      </c>
      <c r="C289" s="56" t="s">
        <v>28</v>
      </c>
      <c r="D289" s="85"/>
      <c r="E289" s="85"/>
      <c r="F289" s="85"/>
      <c r="G289" s="85"/>
      <c r="H289" s="85"/>
      <c r="I289" s="85"/>
      <c r="J289" s="85"/>
      <c r="K289" s="85"/>
      <c r="L289" s="85"/>
      <c r="M289" s="84">
        <f>MAX(0,M271*-1)*M284</f>
        <v>1165.449846880673</v>
      </c>
      <c r="N289" s="84">
        <f>MAX(0,N271*-1)*N284</f>
        <v>1251.9535857993319</v>
      </c>
      <c r="O289" s="84">
        <f>MAX(0,O271*-1)*O284</f>
        <v>1269.537132978413</v>
      </c>
      <c r="P289" s="84">
        <f>MAX(0,P271*-1)*P284</f>
        <v>1237.9199554009704</v>
      </c>
      <c r="Q289" s="169">
        <f>MAX(0,Q271*-1)*Q284</f>
        <v>1109.1684599098282</v>
      </c>
      <c r="R289" s="127"/>
      <c r="S289" s="59"/>
    </row>
    <row r="290" spans="1:19" ht="15">
      <c r="A290" s="102"/>
      <c r="B290" s="157" t="s">
        <v>276</v>
      </c>
      <c r="C290" s="56" t="s">
        <v>28</v>
      </c>
      <c r="D290" s="85"/>
      <c r="E290" s="85"/>
      <c r="F290" s="85"/>
      <c r="G290" s="85"/>
      <c r="H290" s="85"/>
      <c r="I290" s="85"/>
      <c r="J290" s="85"/>
      <c r="K290" s="85"/>
      <c r="L290" s="85"/>
      <c r="M290" s="84"/>
      <c r="N290" s="84"/>
      <c r="O290" s="84"/>
      <c r="P290" s="84"/>
      <c r="Q290" s="169">
        <f>MAX(0,Q271*-1)*(1+D32)/(D27-D32)</f>
        <v>21674.250071620201</v>
      </c>
      <c r="R290" s="121"/>
      <c r="S290" s="59"/>
    </row>
    <row r="291" spans="1:19" ht="15">
      <c r="A291" s="102"/>
      <c r="B291" s="157" t="s">
        <v>277</v>
      </c>
      <c r="C291" s="56" t="s">
        <v>28</v>
      </c>
      <c r="D291" s="85"/>
      <c r="E291" s="85"/>
      <c r="F291" s="85"/>
      <c r="G291" s="85"/>
      <c r="H291" s="85"/>
      <c r="I291" s="85"/>
      <c r="J291" s="85"/>
      <c r="K291" s="85"/>
      <c r="L291" s="85"/>
      <c r="M291" s="84"/>
      <c r="N291" s="84"/>
      <c r="O291" s="84"/>
      <c r="P291" s="84"/>
      <c r="Q291" s="169">
        <f>SUM(M289:Q289)+Q290*Q284</f>
        <v>15633.477095857394</v>
      </c>
      <c r="R291" s="127"/>
      <c r="S291" s="59"/>
    </row>
    <row r="292" spans="1:19" ht="15">
      <c r="A292" s="102"/>
      <c r="B292" s="157" t="s">
        <v>278</v>
      </c>
      <c r="C292" s="56" t="s">
        <v>22</v>
      </c>
      <c r="D292" s="82"/>
      <c r="E292" s="82"/>
      <c r="F292" s="82"/>
      <c r="G292" s="82"/>
      <c r="H292" s="82"/>
      <c r="I292" s="82"/>
      <c r="J292" s="82"/>
      <c r="K292" s="82"/>
      <c r="L292" s="82"/>
      <c r="M292" s="83"/>
      <c r="N292" s="83"/>
      <c r="O292" s="83"/>
      <c r="P292" s="83"/>
      <c r="Q292" s="160">
        <f>Q291/D20</f>
        <v>8.011141719581083</v>
      </c>
      <c r="R292" s="127"/>
      <c r="S292" s="59"/>
    </row>
    <row r="293" spans="1:19" ht="15">
      <c r="A293" s="102"/>
      <c r="B293" s="157" t="s">
        <v>279</v>
      </c>
      <c r="C293" s="56" t="s">
        <v>34</v>
      </c>
      <c r="D293" s="90"/>
      <c r="E293" s="90"/>
      <c r="F293" s="90"/>
      <c r="G293" s="90"/>
      <c r="H293" s="90"/>
      <c r="I293" s="90"/>
      <c r="J293" s="90"/>
      <c r="K293" s="90"/>
      <c r="L293" s="90"/>
      <c r="M293" s="91"/>
      <c r="N293" s="91"/>
      <c r="O293" s="91"/>
      <c r="P293" s="91"/>
      <c r="Q293" s="173">
        <f>MAX(0,(Q277-D32)/(D27-D32))*D57</f>
        <v>0.59563665529738286</v>
      </c>
      <c r="R293" s="127"/>
      <c r="S293" s="59" t="s">
        <v>280</v>
      </c>
    </row>
    <row r="294" spans="1:19" ht="15">
      <c r="A294" s="102"/>
      <c r="B294" s="157" t="s">
        <v>281</v>
      </c>
      <c r="C294" s="56" t="s">
        <v>22</v>
      </c>
      <c r="D294" s="82">
        <f>IFERROR(D276/D20,"")</f>
        <v>29.92519114340044</v>
      </c>
      <c r="E294" s="82">
        <f>IFERROR(E276/D20,"")</f>
        <v>31.065054757785273</v>
      </c>
      <c r="F294" s="82">
        <f>IFERROR(F276/D20,"")</f>
        <v>28.814664948437759</v>
      </c>
      <c r="G294" s="82">
        <f>IFERROR(G276/D20,"")</f>
        <v>28.131044299600688</v>
      </c>
      <c r="H294" s="82">
        <f>IFERROR(H276/D20,"")</f>
        <v>29.141897264150227</v>
      </c>
      <c r="I294" s="82">
        <f>IFERROR(I276/D20,"")</f>
        <v>30.558279546441678</v>
      </c>
      <c r="J294" s="82">
        <f>IFERROR(J276/D20,"")</f>
        <v>29.128264441905952</v>
      </c>
      <c r="K294" s="82">
        <f>IFERROR(K276/D20,"")</f>
        <v>44.742837541484178</v>
      </c>
      <c r="L294" s="82">
        <f>IFERROR(L276/D20,"")</f>
        <v>56.027376945382827</v>
      </c>
      <c r="M294" s="83">
        <f>IFERROR(M276/D20,"")</f>
        <v>65.115817952300233</v>
      </c>
      <c r="N294" s="83">
        <f>IFERROR(N276/D20,"")</f>
        <v>76.60591229625777</v>
      </c>
      <c r="O294" s="83">
        <f>IFERROR(O276/D20,"")</f>
        <v>90.318529017009709</v>
      </c>
      <c r="P294" s="83">
        <f>IFERROR(P276/D20,"")</f>
        <v>106.0549895118494</v>
      </c>
      <c r="Q294" s="160">
        <f>IFERROR(Q276/D20,"")</f>
        <v>122.64900787597588</v>
      </c>
      <c r="R294" s="121"/>
      <c r="S294" s="59"/>
    </row>
    <row r="295" spans="1:19" ht="15">
      <c r="A295" s="102"/>
      <c r="B295" s="157" t="s">
        <v>282</v>
      </c>
      <c r="C295" s="56" t="s">
        <v>22</v>
      </c>
      <c r="D295" s="82"/>
      <c r="E295" s="82"/>
      <c r="F295" s="82"/>
      <c r="G295" s="82"/>
      <c r="H295" s="82"/>
      <c r="I295" s="82"/>
      <c r="J295" s="82"/>
      <c r="K295" s="82"/>
      <c r="L295" s="82"/>
      <c r="M295" s="83"/>
      <c r="N295" s="83"/>
      <c r="O295" s="83"/>
      <c r="P295" s="83"/>
      <c r="Q295" s="160">
        <f>Q293*Q294</f>
        <v>73.054244826788647</v>
      </c>
      <c r="R295" s="127"/>
      <c r="S295" s="59"/>
    </row>
    <row r="296" spans="1:19" ht="15">
      <c r="A296" s="102"/>
      <c r="B296" s="157" t="s">
        <v>283</v>
      </c>
      <c r="C296" s="56" t="s">
        <v>31</v>
      </c>
      <c r="D296" s="87"/>
      <c r="E296" s="87"/>
      <c r="F296" s="87"/>
      <c r="G296" s="87"/>
      <c r="H296" s="87"/>
      <c r="I296" s="87"/>
      <c r="J296" s="87"/>
      <c r="K296" s="87"/>
      <c r="L296" s="87"/>
      <c r="M296" s="88"/>
      <c r="N296" s="88"/>
      <c r="O296" s="88"/>
      <c r="P296" s="88"/>
      <c r="Q296" s="153">
        <f>MAX(0,L264)/(MAX(0,L264)+D21)</f>
        <v>0.71134112357294754</v>
      </c>
      <c r="R296" s="127"/>
      <c r="S296" s="59" t="s">
        <v>284</v>
      </c>
    </row>
    <row r="297" spans="1:19" ht="15">
      <c r="A297" s="102"/>
      <c r="B297" s="157" t="s">
        <v>285</v>
      </c>
      <c r="C297" s="56" t="s">
        <v>31</v>
      </c>
      <c r="D297" s="87"/>
      <c r="E297" s="87"/>
      <c r="F297" s="87"/>
      <c r="G297" s="87"/>
      <c r="H297" s="87"/>
      <c r="I297" s="87"/>
      <c r="J297" s="87"/>
      <c r="K297" s="87"/>
      <c r="L297" s="87"/>
      <c r="M297" s="88"/>
      <c r="N297" s="88"/>
      <c r="O297" s="88"/>
      <c r="P297" s="88"/>
      <c r="Q297" s="153">
        <f>D27*(1-Q296)+D28*(1-D29)*Q296</f>
        <v>7.8459438122697789E-2</v>
      </c>
      <c r="R297" s="59"/>
      <c r="S297" s="59"/>
    </row>
    <row r="298" spans="1:19" ht="15">
      <c r="A298" s="102"/>
      <c r="B298" s="157" t="s">
        <v>286</v>
      </c>
      <c r="C298" s="56" t="s">
        <v>34</v>
      </c>
      <c r="D298" s="90"/>
      <c r="E298" s="90"/>
      <c r="F298" s="90"/>
      <c r="G298" s="90"/>
      <c r="H298" s="90"/>
      <c r="I298" s="90"/>
      <c r="J298" s="90"/>
      <c r="K298" s="90"/>
      <c r="L298" s="90"/>
      <c r="M298" s="91">
        <f>1/(1+$Q$297)^1</f>
        <v>0.92724859614630095</v>
      </c>
      <c r="N298" s="91">
        <f>1/(1+$Q$297)^2</f>
        <v>0.85978995905528588</v>
      </c>
      <c r="O298" s="91">
        <f>1/(1+$Q$297)^3</f>
        <v>0.79723903251469941</v>
      </c>
      <c r="P298" s="91">
        <f>1/(1+$Q$297)^4</f>
        <v>0.73923877369229019</v>
      </c>
      <c r="Q298" s="173">
        <f>1/(1+$Q$297)^5</f>
        <v>0.68545811512308918</v>
      </c>
      <c r="R298" s="121"/>
      <c r="S298" s="59"/>
    </row>
    <row r="299" spans="1:19" ht="15">
      <c r="A299" s="102"/>
      <c r="B299" s="157" t="s">
        <v>287</v>
      </c>
      <c r="C299" s="56" t="s">
        <v>28</v>
      </c>
      <c r="D299" s="85"/>
      <c r="E299" s="85"/>
      <c r="F299" s="85"/>
      <c r="G299" s="85"/>
      <c r="H299" s="85"/>
      <c r="I299" s="85"/>
      <c r="J299" s="85"/>
      <c r="K299" s="85"/>
      <c r="L299" s="85"/>
      <c r="M299" s="84">
        <f>M269*M298</f>
        <v>24582.882713827777</v>
      </c>
      <c r="N299" s="84">
        <f>N269*N298</f>
        <v>19151.914375461201</v>
      </c>
      <c r="O299" s="84">
        <f>O269*O298</f>
        <v>18596.137895152555</v>
      </c>
      <c r="P299" s="84">
        <f>P269*P298</f>
        <v>18517.855769044927</v>
      </c>
      <c r="Q299" s="169">
        <f>Q269*Q298</f>
        <v>18197.042201799261</v>
      </c>
      <c r="R299" s="127"/>
      <c r="S299" s="59"/>
    </row>
    <row r="300" spans="1:19" ht="15">
      <c r="A300" s="102"/>
      <c r="B300" s="157" t="s">
        <v>288</v>
      </c>
      <c r="C300" s="56" t="s">
        <v>28</v>
      </c>
      <c r="D300" s="85"/>
      <c r="E300" s="85"/>
      <c r="F300" s="85"/>
      <c r="G300" s="85"/>
      <c r="H300" s="85"/>
      <c r="I300" s="85"/>
      <c r="J300" s="85"/>
      <c r="K300" s="85"/>
      <c r="L300" s="85"/>
      <c r="M300" s="84"/>
      <c r="N300" s="84"/>
      <c r="O300" s="84"/>
      <c r="P300" s="84"/>
      <c r="Q300" s="169">
        <f>Q269*(1+D32)/(Q297-D32)</f>
        <v>1193863.6613449149</v>
      </c>
      <c r="R300" s="127"/>
      <c r="S300" s="59"/>
    </row>
    <row r="301" spans="1:19" ht="15">
      <c r="A301" s="102"/>
      <c r="B301" s="157" t="s">
        <v>289</v>
      </c>
      <c r="C301" s="56" t="s">
        <v>28</v>
      </c>
      <c r="D301" s="85"/>
      <c r="E301" s="85"/>
      <c r="F301" s="85"/>
      <c r="G301" s="85"/>
      <c r="H301" s="85"/>
      <c r="I301" s="85"/>
      <c r="J301" s="85"/>
      <c r="K301" s="85"/>
      <c r="L301" s="85"/>
      <c r="M301" s="84"/>
      <c r="N301" s="84"/>
      <c r="O301" s="84"/>
      <c r="P301" s="84"/>
      <c r="Q301" s="169">
        <f>SUM(M299:Q299)+Q300*Q298</f>
        <v>917389.36797472113</v>
      </c>
      <c r="R301" s="127"/>
      <c r="S301" s="59"/>
    </row>
    <row r="302" spans="1:19" ht="15">
      <c r="A302" s="102"/>
      <c r="B302" s="157" t="s">
        <v>290</v>
      </c>
      <c r="C302" s="56" t="s">
        <v>28</v>
      </c>
      <c r="D302" s="85"/>
      <c r="E302" s="85"/>
      <c r="F302" s="85"/>
      <c r="G302" s="85"/>
      <c r="H302" s="85"/>
      <c r="I302" s="85"/>
      <c r="J302" s="85"/>
      <c r="K302" s="85"/>
      <c r="L302" s="85"/>
      <c r="M302" s="84"/>
      <c r="N302" s="84"/>
      <c r="O302" s="84"/>
      <c r="P302" s="84"/>
      <c r="Q302" s="169">
        <f>Q301+L265-L264</f>
        <v>836731.81997472118</v>
      </c>
      <c r="R302" s="121"/>
      <c r="S302" s="59" t="s">
        <v>291</v>
      </c>
    </row>
    <row r="303" spans="1:19" ht="15">
      <c r="A303" s="102"/>
      <c r="B303" s="157" t="s">
        <v>292</v>
      </c>
      <c r="C303" s="56" t="s">
        <v>22</v>
      </c>
      <c r="D303" s="82"/>
      <c r="E303" s="82"/>
      <c r="F303" s="82"/>
      <c r="G303" s="82"/>
      <c r="H303" s="82"/>
      <c r="I303" s="82"/>
      <c r="J303" s="82"/>
      <c r="K303" s="82"/>
      <c r="L303" s="82"/>
      <c r="M303" s="83"/>
      <c r="N303" s="83"/>
      <c r="O303" s="83"/>
      <c r="P303" s="83"/>
      <c r="Q303" s="160">
        <f>Q302/D20</f>
        <v>428.77071748016471</v>
      </c>
      <c r="R303" s="127"/>
      <c r="S303" s="59" t="s">
        <v>293</v>
      </c>
    </row>
    <row r="304" spans="1:19" ht="15">
      <c r="A304" s="102"/>
      <c r="B304" s="157" t="s">
        <v>294</v>
      </c>
      <c r="C304" s="56" t="s">
        <v>22</v>
      </c>
      <c r="D304" s="82"/>
      <c r="E304" s="82"/>
      <c r="F304" s="82"/>
      <c r="G304" s="82"/>
      <c r="H304" s="82"/>
      <c r="I304" s="82"/>
      <c r="J304" s="82"/>
      <c r="K304" s="82"/>
      <c r="L304" s="82"/>
      <c r="M304" s="83"/>
      <c r="N304" s="83"/>
      <c r="O304" s="83"/>
      <c r="P304" s="83"/>
      <c r="Q304" s="174">
        <f>Q283*D53+Q288*D54+Q292*D55+Q295*D56</f>
        <v>56.152765177667888</v>
      </c>
      <c r="R304" s="127"/>
      <c r="S304" s="59" t="s">
        <v>295</v>
      </c>
    </row>
    <row r="305" spans="1:19" ht="15">
      <c r="A305" s="102"/>
      <c r="B305" s="157" t="s">
        <v>8</v>
      </c>
      <c r="C305" s="56" t="s">
        <v>31</v>
      </c>
      <c r="D305" s="87"/>
      <c r="E305" s="87"/>
      <c r="F305" s="87"/>
      <c r="G305" s="87"/>
      <c r="H305" s="87"/>
      <c r="I305" s="87"/>
      <c r="J305" s="87"/>
      <c r="K305" s="87"/>
      <c r="L305" s="87"/>
      <c r="M305" s="88"/>
      <c r="N305" s="88"/>
      <c r="O305" s="88"/>
      <c r="P305" s="88"/>
      <c r="Q305" s="153">
        <f>Q304/D19-1</f>
        <v>2.0600961949682772</v>
      </c>
      <c r="R305" s="127"/>
      <c r="S305" s="59"/>
    </row>
    <row r="306" spans="1:19" ht="15">
      <c r="A306" s="102"/>
      <c r="B306" s="157" t="s">
        <v>296</v>
      </c>
      <c r="C306" s="56" t="s">
        <v>31</v>
      </c>
      <c r="D306" s="87"/>
      <c r="E306" s="87"/>
      <c r="F306" s="87"/>
      <c r="G306" s="87"/>
      <c r="H306" s="87"/>
      <c r="I306" s="87"/>
      <c r="J306" s="87"/>
      <c r="K306" s="87"/>
      <c r="L306" s="87"/>
      <c r="M306" s="88"/>
      <c r="N306" s="88"/>
      <c r="O306" s="88"/>
      <c r="P306" s="88"/>
      <c r="Q306" s="153">
        <f>M247/D19</f>
        <v>3.8303275686500576E-2</v>
      </c>
      <c r="R306" s="121"/>
      <c r="S306" s="59"/>
    </row>
    <row r="307" spans="1:19" ht="15">
      <c r="A307" s="102"/>
      <c r="B307" s="157" t="s">
        <v>11</v>
      </c>
      <c r="C307" s="56" t="s">
        <v>31</v>
      </c>
      <c r="D307" s="87"/>
      <c r="E307" s="87"/>
      <c r="F307" s="87"/>
      <c r="G307" s="87"/>
      <c r="H307" s="87"/>
      <c r="I307" s="87"/>
      <c r="J307" s="87"/>
      <c r="K307" s="87"/>
      <c r="L307" s="87"/>
      <c r="M307" s="88"/>
      <c r="N307" s="88"/>
      <c r="O307" s="88"/>
      <c r="P307" s="88"/>
      <c r="Q307" s="153">
        <f>Q305+Q306</f>
        <v>2.0983994706547779</v>
      </c>
      <c r="R307" s="127"/>
      <c r="S307" s="59"/>
    </row>
    <row r="308" spans="1:19" ht="15">
      <c r="A308" s="102"/>
      <c r="B308" s="157" t="s">
        <v>2</v>
      </c>
      <c r="C308" s="56" t="s">
        <v>297</v>
      </c>
      <c r="D308" s="57"/>
      <c r="E308" s="57"/>
      <c r="F308" s="57"/>
      <c r="G308" s="57"/>
      <c r="H308" s="57"/>
      <c r="I308" s="57"/>
      <c r="J308" s="57"/>
      <c r="K308" s="57"/>
      <c r="L308" s="57"/>
      <c r="M308" s="58"/>
      <c r="N308" s="58"/>
      <c r="O308" s="58"/>
      <c r="P308" s="58"/>
      <c r="Q308" s="175" t="str">
        <f>IF(Q307&gt;20%,"BUY",IF(Q307&lt;-10%,"SELL","HOLD"))</f>
        <v>BUY</v>
      </c>
      <c r="R308" s="127"/>
      <c r="S308" s="59" t="s">
        <v>298</v>
      </c>
    </row>
    <row r="309" spans="1:19" ht="15">
      <c r="A309" s="102"/>
      <c r="B309" s="157"/>
      <c r="C309" s="56"/>
      <c r="D309" s="57"/>
      <c r="E309" s="57"/>
      <c r="F309" s="57"/>
      <c r="G309" s="57"/>
      <c r="H309" s="57"/>
      <c r="I309" s="57"/>
      <c r="J309" s="57"/>
      <c r="K309" s="57"/>
      <c r="L309" s="57"/>
      <c r="M309" s="58"/>
      <c r="N309" s="58"/>
      <c r="O309" s="58"/>
      <c r="P309" s="58"/>
      <c r="Q309" s="158"/>
      <c r="R309" s="59"/>
      <c r="S309" s="59"/>
    </row>
    <row r="310" spans="1:19" ht="15">
      <c r="A310" s="102"/>
      <c r="B310" s="161" t="s">
        <v>299</v>
      </c>
      <c r="C310" s="70"/>
      <c r="D310" s="71"/>
      <c r="E310" s="71"/>
      <c r="F310" s="71"/>
      <c r="G310" s="71"/>
      <c r="H310" s="71"/>
      <c r="I310" s="71"/>
      <c r="J310" s="71"/>
      <c r="K310" s="71"/>
      <c r="L310" s="71"/>
      <c r="M310" s="72"/>
      <c r="N310" s="72"/>
      <c r="O310" s="72"/>
      <c r="P310" s="72"/>
      <c r="Q310" s="170"/>
      <c r="R310" s="121"/>
      <c r="S310" s="70"/>
    </row>
    <row r="311" spans="1:19" ht="31.5" customHeight="1">
      <c r="A311" s="102"/>
      <c r="B311" s="159" t="s">
        <v>300</v>
      </c>
      <c r="C311" s="73"/>
      <c r="D311" s="74"/>
      <c r="E311" s="74"/>
      <c r="F311" s="74"/>
      <c r="G311" s="74"/>
      <c r="H311" s="74"/>
      <c r="I311" s="74"/>
      <c r="J311" s="74"/>
      <c r="K311" s="74"/>
      <c r="L311" s="74"/>
      <c r="M311" s="75"/>
      <c r="N311" s="75"/>
      <c r="O311" s="75"/>
      <c r="P311" s="75"/>
      <c r="Q311" s="171"/>
      <c r="R311" s="127"/>
      <c r="S311" s="76"/>
    </row>
    <row r="312" spans="1:19" ht="38.25">
      <c r="A312" s="102"/>
      <c r="B312" s="142" t="s">
        <v>301</v>
      </c>
      <c r="C312" s="77" t="s">
        <v>302</v>
      </c>
      <c r="D312" s="78" t="s">
        <v>303</v>
      </c>
      <c r="E312" s="78" t="s">
        <v>304</v>
      </c>
      <c r="F312" s="78" t="s">
        <v>305</v>
      </c>
      <c r="G312" s="78" t="s">
        <v>306</v>
      </c>
      <c r="H312" s="78" t="s">
        <v>307</v>
      </c>
      <c r="I312" s="78" t="s">
        <v>308</v>
      </c>
      <c r="J312" s="78" t="s">
        <v>2</v>
      </c>
      <c r="K312" s="78"/>
      <c r="L312" s="78"/>
      <c r="M312" s="79"/>
      <c r="N312" s="79"/>
      <c r="O312" s="79"/>
      <c r="P312" s="79"/>
      <c r="Q312" s="172"/>
      <c r="R312" s="127"/>
      <c r="S312" s="80"/>
    </row>
    <row r="313" spans="1:19" ht="15">
      <c r="A313" s="102"/>
      <c r="B313" s="157" t="s">
        <v>309</v>
      </c>
      <c r="C313" s="92">
        <v>0.75</v>
      </c>
      <c r="D313" s="93">
        <v>0.5</v>
      </c>
      <c r="E313" s="87">
        <v>-2.5000000000000001E-3</v>
      </c>
      <c r="F313" s="87">
        <v>1.25</v>
      </c>
      <c r="G313" s="87">
        <v>0.02</v>
      </c>
      <c r="H313" s="82">
        <f>Q304*(0.35*C313+0.35*D313+0.15*(1+E313*10)+0.1*(2-F313)+0.05*(1-G313))</f>
        <v>39.742119554494444</v>
      </c>
      <c r="I313" s="87">
        <f>H313/D19-1</f>
        <v>1.1657830819887978</v>
      </c>
      <c r="J313" s="57" t="str">
        <f>IF(I313&gt;20%,"BUY",IF(I313&lt;-10%,"SELL","HOLD"))</f>
        <v>BUY</v>
      </c>
      <c r="K313" s="57"/>
      <c r="L313" s="57"/>
      <c r="M313" s="58"/>
      <c r="N313" s="58"/>
      <c r="O313" s="58"/>
      <c r="P313" s="58"/>
      <c r="Q313" s="158"/>
      <c r="R313" s="127"/>
      <c r="S313" s="59"/>
    </row>
    <row r="314" spans="1:19" ht="15">
      <c r="A314" s="102"/>
      <c r="B314" s="157" t="s">
        <v>310</v>
      </c>
      <c r="C314" s="92">
        <v>1</v>
      </c>
      <c r="D314" s="93">
        <v>1</v>
      </c>
      <c r="E314" s="87">
        <v>0</v>
      </c>
      <c r="F314" s="87">
        <v>1</v>
      </c>
      <c r="G314" s="87">
        <v>0</v>
      </c>
      <c r="H314" s="82">
        <f>Q304*(0.35*C314+0.35*D314+0.15*(1+E314*10)+0.1*(2-F314)+0.05*(1-G314))</f>
        <v>56.152765177667888</v>
      </c>
      <c r="I314" s="87">
        <f>H314/D19-1</f>
        <v>2.0600961949682772</v>
      </c>
      <c r="J314" s="57" t="str">
        <f>IF(I314&gt;20%,"BUY",IF(I314&lt;-10%,"SELL","HOLD"))</f>
        <v>BUY</v>
      </c>
      <c r="K314" s="57"/>
      <c r="L314" s="57"/>
      <c r="M314" s="58"/>
      <c r="N314" s="58"/>
      <c r="O314" s="58"/>
      <c r="P314" s="58"/>
      <c r="Q314" s="158"/>
      <c r="R314" s="121"/>
      <c r="S314" s="59"/>
    </row>
    <row r="315" spans="1:19" ht="15">
      <c r="A315" s="102"/>
      <c r="B315" s="157" t="s">
        <v>311</v>
      </c>
      <c r="C315" s="92">
        <v>1.2</v>
      </c>
      <c r="D315" s="93">
        <v>1.2</v>
      </c>
      <c r="E315" s="87">
        <v>2.5000000000000001E-3</v>
      </c>
      <c r="F315" s="87">
        <v>0.9</v>
      </c>
      <c r="G315" s="87">
        <v>-0.01</v>
      </c>
      <c r="H315" s="82">
        <f>Q304*(0.35*C315+0.35*D315+0.15*(1+E315*10)+0.1*(2-F315)+0.05*(1-G315))</f>
        <v>64.814329206323166</v>
      </c>
      <c r="I315" s="87">
        <f>H315/D19-1</f>
        <v>2.5321160330421342</v>
      </c>
      <c r="J315" s="57" t="str">
        <f>IF(I315&gt;20%,"BUY",IF(I315&lt;-10%,"SELL","HOLD"))</f>
        <v>BUY</v>
      </c>
      <c r="K315" s="57"/>
      <c r="L315" s="57"/>
      <c r="M315" s="58"/>
      <c r="N315" s="58"/>
      <c r="O315" s="58"/>
      <c r="P315" s="58"/>
      <c r="Q315" s="158"/>
      <c r="R315" s="127"/>
      <c r="S315" s="59"/>
    </row>
    <row r="316" spans="1:19" ht="15">
      <c r="A316" s="102"/>
      <c r="B316" s="157"/>
      <c r="C316" s="56"/>
      <c r="D316" s="57"/>
      <c r="E316" s="57"/>
      <c r="F316" s="57"/>
      <c r="G316" s="57"/>
      <c r="H316" s="57"/>
      <c r="I316" s="57"/>
      <c r="J316" s="57"/>
      <c r="K316" s="57"/>
      <c r="L316" s="57"/>
      <c r="M316" s="58"/>
      <c r="N316" s="58"/>
      <c r="O316" s="58"/>
      <c r="P316" s="58"/>
      <c r="Q316" s="158"/>
      <c r="R316" s="127"/>
      <c r="S316" s="59"/>
    </row>
    <row r="317" spans="1:19" ht="15">
      <c r="A317" s="102"/>
      <c r="B317" s="161" t="s">
        <v>312</v>
      </c>
      <c r="C317" s="70"/>
      <c r="D317" s="71"/>
      <c r="E317" s="71"/>
      <c r="F317" s="71"/>
      <c r="G317" s="71"/>
      <c r="H317" s="71"/>
      <c r="I317" s="71"/>
      <c r="J317" s="71"/>
      <c r="K317" s="71"/>
      <c r="L317" s="71"/>
      <c r="M317" s="72"/>
      <c r="N317" s="72"/>
      <c r="O317" s="72"/>
      <c r="P317" s="72"/>
      <c r="Q317" s="170"/>
      <c r="R317" s="127"/>
      <c r="S317" s="70"/>
    </row>
    <row r="318" spans="1:19" ht="25.5">
      <c r="A318" s="102"/>
      <c r="B318" s="159" t="s">
        <v>313</v>
      </c>
      <c r="C318" s="73"/>
      <c r="D318" s="74"/>
      <c r="E318" s="74" t="s">
        <v>52</v>
      </c>
      <c r="F318" s="74"/>
      <c r="G318" s="74"/>
      <c r="H318" s="74"/>
      <c r="I318" s="74"/>
      <c r="J318" s="74"/>
      <c r="K318" s="74"/>
      <c r="L318" s="74"/>
      <c r="M318" s="75"/>
      <c r="N318" s="75"/>
      <c r="O318" s="75"/>
      <c r="P318" s="75"/>
      <c r="Q318" s="171"/>
      <c r="R318" s="127"/>
      <c r="S318" s="76"/>
    </row>
    <row r="319" spans="1:19" ht="15">
      <c r="A319" s="102"/>
      <c r="B319" s="142" t="s">
        <v>314</v>
      </c>
      <c r="C319" s="77"/>
      <c r="D319" s="78">
        <v>3.5000000000000003E-2</v>
      </c>
      <c r="E319" s="78">
        <v>4.4999999999999998E-2</v>
      </c>
      <c r="F319" s="78">
        <v>5.5E-2</v>
      </c>
      <c r="G319" s="78"/>
      <c r="H319" s="78"/>
      <c r="I319" s="78"/>
      <c r="J319" s="78"/>
      <c r="K319" s="78"/>
      <c r="L319" s="78"/>
      <c r="M319" s="79"/>
      <c r="N319" s="79"/>
      <c r="O319" s="79"/>
      <c r="P319" s="79"/>
      <c r="Q319" s="172"/>
      <c r="R319" s="127"/>
      <c r="S319" s="80"/>
    </row>
    <row r="320" spans="1:19" ht="15">
      <c r="A320" s="102"/>
      <c r="B320" s="157">
        <v>0.155</v>
      </c>
      <c r="C320" s="56"/>
      <c r="D320" s="57">
        <f>Q283*(D27-D32)/(0.155-0.035)</f>
        <v>54.880587335983257</v>
      </c>
      <c r="E320" s="57">
        <f>Q283*(D27-D32)/(0.155-0.045)</f>
        <v>59.869731639254461</v>
      </c>
      <c r="F320" s="57">
        <f>Q283*(D27-D32)/(0.155-0.055)</f>
        <v>65.856704803179909</v>
      </c>
      <c r="G320" s="57"/>
      <c r="H320" s="57"/>
      <c r="I320" s="57"/>
      <c r="J320" s="57"/>
      <c r="K320" s="57"/>
      <c r="L320" s="57"/>
      <c r="M320" s="58"/>
      <c r="N320" s="58"/>
      <c r="O320" s="58"/>
      <c r="P320" s="58"/>
      <c r="Q320" s="158"/>
      <c r="R320" s="59"/>
      <c r="S320" s="59"/>
    </row>
    <row r="321" spans="1:19" ht="15">
      <c r="A321" s="102"/>
      <c r="B321" s="157">
        <v>0.17499999999999999</v>
      </c>
      <c r="C321" s="56"/>
      <c r="D321" s="57">
        <f>Q283*(D27-D32)/(0.175-0.035)</f>
        <v>47.040503430842797</v>
      </c>
      <c r="E321" s="57">
        <f>Q283*(D27-D32)/(0.175-0.045)</f>
        <v>50.659003694753778</v>
      </c>
      <c r="F321" s="57">
        <f>Q283*(D27-D32)/(0.175-0.055)</f>
        <v>54.880587335983257</v>
      </c>
      <c r="G321" s="57"/>
      <c r="H321" s="57"/>
      <c r="I321" s="57"/>
      <c r="J321" s="57"/>
      <c r="K321" s="57"/>
      <c r="L321" s="57"/>
      <c r="M321" s="58"/>
      <c r="N321" s="58"/>
      <c r="O321" s="58"/>
      <c r="P321" s="58"/>
      <c r="Q321" s="158"/>
      <c r="R321" s="121"/>
      <c r="S321" s="59"/>
    </row>
    <row r="322" spans="1:19" ht="15">
      <c r="A322" s="102"/>
      <c r="B322" s="157">
        <v>0.19500000000000001</v>
      </c>
      <c r="C322" s="56"/>
      <c r="D322" s="57">
        <f>Q283*(D27-D32)/(0.195-0.035)</f>
        <v>41.160440501987445</v>
      </c>
      <c r="E322" s="57">
        <f>Q283*(D27-D32)/(0.195-0.045)</f>
        <v>43.904469868786599</v>
      </c>
      <c r="F322" s="57">
        <f>Q283*(D27-D32)/(0.195-0.055)</f>
        <v>47.04050343084279</v>
      </c>
      <c r="G322" s="57"/>
      <c r="H322" s="57"/>
      <c r="I322" s="57"/>
      <c r="J322" s="57"/>
      <c r="K322" s="57"/>
      <c r="L322" s="57"/>
      <c r="M322" s="58"/>
      <c r="N322" s="58"/>
      <c r="O322" s="58"/>
      <c r="P322" s="58"/>
      <c r="Q322" s="158"/>
      <c r="R322" s="127"/>
      <c r="S322" s="59"/>
    </row>
    <row r="323" spans="1:19" ht="15">
      <c r="A323" s="102"/>
      <c r="B323" s="157"/>
      <c r="C323" s="56"/>
      <c r="D323" s="57"/>
      <c r="E323" s="57"/>
      <c r="F323" s="57"/>
      <c r="G323" s="57"/>
      <c r="H323" s="57"/>
      <c r="I323" s="57"/>
      <c r="J323" s="57"/>
      <c r="K323" s="57"/>
      <c r="L323" s="57"/>
      <c r="M323" s="58"/>
      <c r="N323" s="58"/>
      <c r="O323" s="58"/>
      <c r="P323" s="58"/>
      <c r="Q323" s="158"/>
      <c r="R323" s="127"/>
      <c r="S323" s="59"/>
    </row>
    <row r="324" spans="1:19" ht="25.5">
      <c r="A324" s="102"/>
      <c r="B324" s="159" t="s">
        <v>315</v>
      </c>
      <c r="C324" s="73"/>
      <c r="D324" s="74"/>
      <c r="E324" s="74" t="s">
        <v>316</v>
      </c>
      <c r="F324" s="74"/>
      <c r="G324" s="74"/>
      <c r="H324" s="74"/>
      <c r="I324" s="74"/>
      <c r="J324" s="74"/>
      <c r="K324" s="74"/>
      <c r="L324" s="74"/>
      <c r="M324" s="75"/>
      <c r="N324" s="75"/>
      <c r="O324" s="75"/>
      <c r="P324" s="75"/>
      <c r="Q324" s="171"/>
      <c r="R324" s="127"/>
      <c r="S324" s="76"/>
    </row>
    <row r="325" spans="1:19" ht="15">
      <c r="A325" s="102"/>
      <c r="B325" s="142" t="s">
        <v>317</v>
      </c>
      <c r="C325" s="77"/>
      <c r="D325" s="78">
        <v>0.9</v>
      </c>
      <c r="E325" s="78">
        <v>1</v>
      </c>
      <c r="F325" s="78">
        <v>1.1000000000000001</v>
      </c>
      <c r="G325" s="78"/>
      <c r="H325" s="78"/>
      <c r="I325" s="78"/>
      <c r="J325" s="78"/>
      <c r="K325" s="78"/>
      <c r="L325" s="78"/>
      <c r="M325" s="79"/>
      <c r="N325" s="79"/>
      <c r="O325" s="79"/>
      <c r="P325" s="79"/>
      <c r="Q325" s="172"/>
      <c r="R325" s="121"/>
      <c r="S325" s="80"/>
    </row>
    <row r="326" spans="1:19" ht="15">
      <c r="A326" s="102"/>
      <c r="B326" s="157">
        <v>0.8</v>
      </c>
      <c r="C326" s="56"/>
      <c r="D326" s="57">
        <f>Q304*0.8*0.9</f>
        <v>40.429990927920883</v>
      </c>
      <c r="E326" s="57">
        <f>Q304*0.8*1</f>
        <v>44.922212142134313</v>
      </c>
      <c r="F326" s="57">
        <f>Q304*0.8*1.1</f>
        <v>49.41443335634775</v>
      </c>
      <c r="G326" s="57"/>
      <c r="H326" s="57"/>
      <c r="I326" s="57"/>
      <c r="J326" s="57"/>
      <c r="K326" s="57"/>
      <c r="L326" s="57"/>
      <c r="M326" s="58"/>
      <c r="N326" s="58"/>
      <c r="O326" s="58"/>
      <c r="P326" s="58"/>
      <c r="Q326" s="158"/>
      <c r="R326" s="127"/>
      <c r="S326" s="59"/>
    </row>
    <row r="327" spans="1:19" ht="15">
      <c r="A327" s="102"/>
      <c r="B327" s="157">
        <v>1</v>
      </c>
      <c r="C327" s="56"/>
      <c r="D327" s="57">
        <f>Q304*1*0.9</f>
        <v>50.537488659901101</v>
      </c>
      <c r="E327" s="57">
        <f>Q304*1*1</f>
        <v>56.152765177667888</v>
      </c>
      <c r="F327" s="57">
        <f>Q304*1*1.1</f>
        <v>61.768041695434682</v>
      </c>
      <c r="G327" s="57"/>
      <c r="H327" s="57"/>
      <c r="I327" s="57"/>
      <c r="J327" s="57"/>
      <c r="K327" s="57"/>
      <c r="L327" s="57"/>
      <c r="M327" s="58"/>
      <c r="N327" s="58"/>
      <c r="O327" s="58"/>
      <c r="P327" s="58"/>
      <c r="Q327" s="158"/>
      <c r="R327" s="127"/>
      <c r="S327" s="59"/>
    </row>
    <row r="328" spans="1:19" ht="15">
      <c r="A328" s="102"/>
      <c r="B328" s="157">
        <v>1.2</v>
      </c>
      <c r="C328" s="56"/>
      <c r="D328" s="57">
        <f>Q304*1.2*0.9</f>
        <v>60.644986391881318</v>
      </c>
      <c r="E328" s="57">
        <f>Q304*1.2*1</f>
        <v>67.383318213201463</v>
      </c>
      <c r="F328" s="57">
        <f>Q304*1.2*1.1</f>
        <v>74.121650034521622</v>
      </c>
      <c r="G328" s="57"/>
      <c r="H328" s="57"/>
      <c r="I328" s="57"/>
      <c r="J328" s="57"/>
      <c r="K328" s="57"/>
      <c r="L328" s="57"/>
      <c r="M328" s="58"/>
      <c r="N328" s="58"/>
      <c r="O328" s="58"/>
      <c r="P328" s="58"/>
      <c r="Q328" s="158"/>
      <c r="R328" s="127"/>
      <c r="S328" s="59"/>
    </row>
    <row r="329" spans="1:19" ht="15">
      <c r="A329" s="102"/>
      <c r="B329" s="176"/>
      <c r="C329" s="177"/>
      <c r="D329" s="178"/>
      <c r="E329" s="178"/>
      <c r="F329" s="178"/>
      <c r="G329" s="178"/>
      <c r="H329" s="178"/>
      <c r="I329" s="178"/>
      <c r="J329" s="178"/>
      <c r="K329" s="178"/>
      <c r="L329" s="178"/>
      <c r="M329" s="179"/>
      <c r="N329" s="179"/>
      <c r="O329" s="179"/>
      <c r="P329" s="179"/>
      <c r="Q329" s="180"/>
      <c r="R329" s="121"/>
      <c r="S329" s="59"/>
    </row>
    <row r="330" spans="1:19"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</row>
  </sheetData>
  <mergeCells count="8">
    <mergeCell ref="B249:C249"/>
    <mergeCell ref="B273:Q273"/>
    <mergeCell ref="B93:C93"/>
    <mergeCell ref="B141:C141"/>
    <mergeCell ref="B150:C150"/>
    <mergeCell ref="B178:C178"/>
    <mergeCell ref="B200:C200"/>
    <mergeCell ref="B230:C2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9"/>
  <sheetViews>
    <sheetView showGridLines="0" topLeftCell="A34" workbookViewId="0"/>
  </sheetViews>
  <sheetFormatPr defaultRowHeight="14.25"/>
  <cols>
    <col min="1" max="1" width="36" customWidth="1"/>
    <col min="2" max="2" width="12" customWidth="1"/>
    <col min="3" max="3" width="10" customWidth="1"/>
    <col min="4" max="4" width="13" customWidth="1"/>
    <col min="5" max="10" width="10" customWidth="1"/>
    <col min="11" max="11" width="13" customWidth="1"/>
    <col min="12" max="12" width="15" customWidth="1"/>
    <col min="14" max="21" width="12" customWidth="1"/>
  </cols>
  <sheetData>
    <row r="1" spans="1:12" ht="19.5">
      <c r="A1" s="202" t="s">
        <v>318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1:1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>
      <c r="A3" s="203" t="s">
        <v>319</v>
      </c>
      <c r="B3" s="203"/>
      <c r="C3" s="203"/>
      <c r="D3" s="203"/>
      <c r="E3" s="36"/>
      <c r="F3" s="36"/>
      <c r="G3" s="36"/>
      <c r="H3" s="36"/>
      <c r="I3" s="36"/>
      <c r="J3" s="36"/>
      <c r="K3" s="36"/>
      <c r="L3" s="36"/>
    </row>
    <row r="4" spans="1:12">
      <c r="A4" s="37" t="s">
        <v>320</v>
      </c>
      <c r="B4" s="37" t="s">
        <v>28</v>
      </c>
      <c r="C4" s="37" t="s">
        <v>321</v>
      </c>
      <c r="D4" s="37" t="s">
        <v>322</v>
      </c>
      <c r="E4" s="36"/>
      <c r="F4" s="36"/>
      <c r="G4" s="36"/>
      <c r="H4" s="36"/>
      <c r="I4" s="36"/>
      <c r="J4" s="36"/>
      <c r="K4" s="36"/>
      <c r="L4" s="36"/>
    </row>
    <row r="5" spans="1:12" ht="25.5">
      <c r="A5" s="38" t="s">
        <v>205</v>
      </c>
      <c r="B5" s="39">
        <f>'Historical Dataset'!N114</f>
        <v>219284.568</v>
      </c>
      <c r="C5" s="40">
        <f>B5/$B$5</f>
        <v>1</v>
      </c>
      <c r="D5" s="38" t="s">
        <v>323</v>
      </c>
      <c r="E5" s="36"/>
      <c r="F5" s="36"/>
      <c r="G5" s="36"/>
      <c r="H5" s="36"/>
      <c r="I5" s="36"/>
      <c r="J5" s="36"/>
      <c r="K5" s="36"/>
      <c r="L5" s="36"/>
    </row>
    <row r="6" spans="1:12" ht="25.5">
      <c r="A6" s="38" t="s">
        <v>211</v>
      </c>
      <c r="B6" s="39">
        <f>'Historical Dataset'!N119</f>
        <v>7266.5590000000002</v>
      </c>
      <c r="C6" s="40">
        <f>B6/$B$5</f>
        <v>3.3137575827953382E-2</v>
      </c>
      <c r="D6" s="38" t="s">
        <v>196</v>
      </c>
      <c r="E6" s="36"/>
      <c r="F6" s="36"/>
      <c r="G6" s="36"/>
      <c r="H6" s="36"/>
      <c r="I6" s="36"/>
      <c r="J6" s="36"/>
      <c r="K6" s="36"/>
      <c r="L6" s="36"/>
    </row>
    <row r="7" spans="1:12" ht="25.5">
      <c r="A7" s="38" t="s">
        <v>206</v>
      </c>
      <c r="B7" s="39">
        <f>'Historical Dataset'!N115</f>
        <v>-144663.60500000001</v>
      </c>
      <c r="C7" s="40">
        <f>ABS(B7)/$B$5</f>
        <v>0.6597071846843322</v>
      </c>
      <c r="D7" s="38" t="s">
        <v>324</v>
      </c>
      <c r="E7" s="36"/>
      <c r="F7" s="36"/>
      <c r="G7" s="36"/>
      <c r="H7" s="36"/>
      <c r="I7" s="36"/>
      <c r="J7" s="36"/>
      <c r="K7" s="36"/>
      <c r="L7" s="36"/>
    </row>
    <row r="8" spans="1:12" ht="25.5">
      <c r="A8" s="38" t="s">
        <v>207</v>
      </c>
      <c r="B8" s="39">
        <f>'Historical Dataset'!N116</f>
        <v>74620.962999999989</v>
      </c>
      <c r="C8" s="40">
        <f>B8/$B$5</f>
        <v>0.34029281531566774</v>
      </c>
      <c r="D8" s="38" t="s">
        <v>325</v>
      </c>
      <c r="E8" s="36"/>
      <c r="F8" s="36"/>
      <c r="G8" s="36"/>
      <c r="H8" s="36"/>
      <c r="I8" s="36"/>
      <c r="J8" s="36"/>
      <c r="K8" s="36"/>
      <c r="L8" s="36"/>
    </row>
    <row r="9" spans="1:12" ht="25.5">
      <c r="A9" s="38" t="s">
        <v>187</v>
      </c>
      <c r="B9" s="39">
        <f>'Historical Dataset'!N117</f>
        <v>-42421.436999999998</v>
      </c>
      <c r="C9" s="40">
        <f>ABS(B9)/$B$5</f>
        <v>0.1934538184191785</v>
      </c>
      <c r="D9" s="38" t="s">
        <v>326</v>
      </c>
      <c r="E9" s="36"/>
      <c r="F9" s="36"/>
      <c r="G9" s="36"/>
      <c r="H9" s="36"/>
      <c r="I9" s="36"/>
      <c r="J9" s="36"/>
      <c r="K9" s="36"/>
      <c r="L9" s="36"/>
    </row>
    <row r="10" spans="1:12" ht="25.5">
      <c r="A10" s="38" t="s">
        <v>327</v>
      </c>
      <c r="B10" s="39">
        <f>'Historical Dataset'!N120</f>
        <v>39466.084999999999</v>
      </c>
      <c r="C10" s="40">
        <f>B10/$B$5</f>
        <v>0.1799765727244427</v>
      </c>
      <c r="D10" s="38" t="s">
        <v>328</v>
      </c>
      <c r="E10" s="36"/>
      <c r="F10" s="36"/>
      <c r="G10" s="36"/>
      <c r="H10" s="36"/>
      <c r="I10" s="36"/>
      <c r="J10" s="36"/>
      <c r="K10" s="36"/>
      <c r="L10" s="36"/>
    </row>
    <row r="11" spans="1:12">
      <c r="A11" s="38" t="s">
        <v>218</v>
      </c>
      <c r="B11" s="39">
        <f>'Historical Dataset'!N125</f>
        <v>24466.525000000001</v>
      </c>
      <c r="C11" s="40">
        <f>B11/$B$5</f>
        <v>0.11157431288096845</v>
      </c>
      <c r="D11" s="38" t="s">
        <v>329</v>
      </c>
      <c r="E11" s="36"/>
      <c r="F11" s="36"/>
      <c r="G11" s="36"/>
      <c r="H11" s="36"/>
      <c r="I11" s="36"/>
      <c r="J11" s="36"/>
      <c r="K11" s="36"/>
      <c r="L11" s="36"/>
    </row>
    <row r="12" spans="1: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spans="1:12">
      <c r="A13" s="203" t="s">
        <v>330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</row>
    <row r="14" spans="1:12">
      <c r="A14" s="37" t="s">
        <v>331</v>
      </c>
      <c r="B14" s="37" t="s">
        <v>19</v>
      </c>
      <c r="C14" s="37">
        <v>2018</v>
      </c>
      <c r="D14" s="37">
        <v>2019</v>
      </c>
      <c r="E14" s="37">
        <v>2020</v>
      </c>
      <c r="F14" s="37">
        <v>2021</v>
      </c>
      <c r="G14" s="37">
        <v>2022</v>
      </c>
      <c r="H14" s="37">
        <v>2023</v>
      </c>
      <c r="I14" s="37">
        <v>2024</v>
      </c>
      <c r="J14" s="37">
        <v>2025</v>
      </c>
      <c r="K14" s="37" t="s">
        <v>332</v>
      </c>
      <c r="L14" s="37" t="s">
        <v>333</v>
      </c>
    </row>
    <row r="15" spans="1:12">
      <c r="A15" s="38" t="s">
        <v>334</v>
      </c>
      <c r="B15" s="38" t="s">
        <v>28</v>
      </c>
      <c r="C15" s="40">
        <f>IFERROR('Historical Dataset'!G65/'Historical Dataset'!G$71,"")</f>
        <v>0.6225633562947448</v>
      </c>
      <c r="D15" s="40">
        <f>IFERROR('Historical Dataset'!H65/'Historical Dataset'!H$71,"")</f>
        <v>0.71918847889303916</v>
      </c>
      <c r="E15" s="40">
        <f>IFERROR('Historical Dataset'!I65/'Historical Dataset'!I$71,"")</f>
        <v>0.73807339656767512</v>
      </c>
      <c r="F15" s="40">
        <f>IFERROR('Historical Dataset'!J65/'Historical Dataset'!J$71,"")</f>
        <v>0.73988745667183864</v>
      </c>
      <c r="G15" s="40">
        <f>IFERROR('Historical Dataset'!K65/'Historical Dataset'!K$71,"")</f>
        <v>0.68130948852192152</v>
      </c>
      <c r="H15" s="40">
        <f>IFERROR('Historical Dataset'!L65/'Historical Dataset'!L$71,"")</f>
        <v>0.62932873386109045</v>
      </c>
      <c r="I15" s="40">
        <f>IFERROR('Historical Dataset'!M65/'Historical Dataset'!M$71,"")</f>
        <v>0.65319648430359112</v>
      </c>
      <c r="J15" s="40">
        <f>IFERROR('Historical Dataset'!N65/'Historical Dataset'!N$71,"")</f>
        <v>0.668121365476115</v>
      </c>
      <c r="K15" s="39">
        <f>'Historical Dataset'!N65</f>
        <v>146508.70499999999</v>
      </c>
      <c r="L15" s="40">
        <f>IFERROR(IF(AND('Historical Dataset'!G65&gt;0,'Historical Dataset'!N65&gt;0),('Historical Dataset'!N65/'Historical Dataset'!G65)^(1/7)-1,""),"")</f>
        <v>8.6838109638150085E-2</v>
      </c>
    </row>
    <row r="16" spans="1:12">
      <c r="A16" s="38" t="s">
        <v>335</v>
      </c>
      <c r="B16" s="38" t="s">
        <v>28</v>
      </c>
      <c r="C16" s="40">
        <f>IFERROR('Historical Dataset'!G66/'Historical Dataset'!G$71,"")</f>
        <v>0.10384564275863505</v>
      </c>
      <c r="D16" s="40">
        <f>IFERROR('Historical Dataset'!H66/'Historical Dataset'!H$71,"")</f>
        <v>0.12524921814588785</v>
      </c>
      <c r="E16" s="40">
        <f>IFERROR('Historical Dataset'!I66/'Historical Dataset'!I$71,"")</f>
        <v>0.13370885430720636</v>
      </c>
      <c r="F16" s="40">
        <f>IFERROR('Historical Dataset'!J66/'Historical Dataset'!J$71,"")</f>
        <v>0.14278653483681139</v>
      </c>
      <c r="G16" s="40">
        <f>IFERROR('Historical Dataset'!K66/'Historical Dataset'!K$71,"")</f>
        <v>0.12498361806995109</v>
      </c>
      <c r="H16" s="40">
        <f>IFERROR('Historical Dataset'!L66/'Historical Dataset'!L$71,"")</f>
        <v>0.12657247714273567</v>
      </c>
      <c r="I16" s="40">
        <f>IFERROR('Historical Dataset'!M66/'Historical Dataset'!M$71,"")</f>
        <v>0.14839613282757969</v>
      </c>
      <c r="J16" s="40">
        <f>IFERROR('Historical Dataset'!N66/'Historical Dataset'!N$71,"")</f>
        <v>0.17131029484938493</v>
      </c>
      <c r="K16" s="39">
        <f>'Historical Dataset'!N66</f>
        <v>37565.703999999998</v>
      </c>
      <c r="L16" s="40">
        <f>IFERROR(IF(AND('Historical Dataset'!G66&gt;0,'Historical Dataset'!N66&gt;0),('Historical Dataset'!N66/'Historical Dataset'!G66)^(1/7)-1,""),"")</f>
        <v>0.15568539998234843</v>
      </c>
    </row>
    <row r="17" spans="1:12">
      <c r="A17" s="38" t="s">
        <v>336</v>
      </c>
      <c r="B17" s="38" t="s">
        <v>28</v>
      </c>
      <c r="C17" s="40">
        <f>IFERROR('Historical Dataset'!G68/'Historical Dataset'!G$71,"")</f>
        <v>7.0956521551157808E-2</v>
      </c>
      <c r="D17" s="40">
        <f>IFERROR('Historical Dataset'!H68/'Historical Dataset'!H$71,"")</f>
        <v>6.4569946871391969E-3</v>
      </c>
      <c r="E17" s="40">
        <f>IFERROR('Historical Dataset'!I68/'Historical Dataset'!I$71,"")</f>
        <v>6.9312448587746699E-3</v>
      </c>
      <c r="F17" s="40">
        <f>IFERROR('Historical Dataset'!J68/'Historical Dataset'!J$71,"")</f>
        <v>4.3943119327866598E-2</v>
      </c>
      <c r="G17" s="40">
        <f>IFERROR('Historical Dataset'!K68/'Historical Dataset'!K$71,"")</f>
        <v>4.6535955335248423E-2</v>
      </c>
      <c r="H17" s="40">
        <f>IFERROR('Historical Dataset'!L68/'Historical Dataset'!L$71,"")</f>
        <v>7.3420166918851573E-2</v>
      </c>
      <c r="I17" s="40">
        <f>IFERROR('Historical Dataset'!M68/'Historical Dataset'!M$71,"")</f>
        <v>0.10357322796425672</v>
      </c>
      <c r="J17" s="40">
        <f>IFERROR('Historical Dataset'!N68/'Historical Dataset'!N$71,"")</f>
        <v>4.7484700336961241E-2</v>
      </c>
      <c r="K17" s="39">
        <f>'Historical Dataset'!N68</f>
        <v>10412.662</v>
      </c>
      <c r="L17" s="40">
        <f>IFERROR(IF(AND('Historical Dataset'!G68&gt;0,'Historical Dataset'!N68&gt;0),('Historical Dataset'!N68/'Historical Dataset'!G68)^(1/7)-1,""),"")</f>
        <v>1.5929028421754809E-2</v>
      </c>
    </row>
    <row r="18" spans="1:12">
      <c r="A18" s="38" t="s">
        <v>337</v>
      </c>
      <c r="B18" s="38" t="s">
        <v>28</v>
      </c>
      <c r="C18" s="40">
        <f>IFERROR('Historical Dataset'!G69/'Historical Dataset'!G$71,"")</f>
        <v>0.2026344793954625</v>
      </c>
      <c r="D18" s="40">
        <f>IFERROR('Historical Dataset'!H69/'Historical Dataset'!H$71,"")</f>
        <v>0.14910530827393392</v>
      </c>
      <c r="E18" s="40">
        <f>IFERROR('Historical Dataset'!I69/'Historical Dataset'!I$71,"")</f>
        <v>0.1212865042663437</v>
      </c>
      <c r="F18" s="40">
        <f>IFERROR('Historical Dataset'!J69/'Historical Dataset'!J$71,"")</f>
        <v>8.2290650186003483E-2</v>
      </c>
      <c r="G18" s="40">
        <f>IFERROR('Historical Dataset'!K69/'Historical Dataset'!K$71,"")</f>
        <v>0.15536113412691169</v>
      </c>
      <c r="H18" s="40">
        <f>IFERROR('Historical Dataset'!L69/'Historical Dataset'!L$71,"")</f>
        <v>0.17884570350518322</v>
      </c>
      <c r="I18" s="40">
        <f>IFERROR('Historical Dataset'!M69/'Historical Dataset'!M$71,"")</f>
        <v>0.10510419236855335</v>
      </c>
      <c r="J18" s="40">
        <f>IFERROR('Historical Dataset'!N69/'Historical Dataset'!N$71,"")</f>
        <v>0.1238982261624539</v>
      </c>
      <c r="K18" s="39">
        <f>'Historical Dataset'!N69</f>
        <v>27168.969000000001</v>
      </c>
      <c r="L18" s="40">
        <f>IFERROR(IF(AND('Historical Dataset'!G69&gt;0,'Historical Dataset'!N69&gt;0),('Historical Dataset'!N69/'Historical Dataset'!G69)^(1/7)-1,""),"")</f>
        <v>2.9100711312959326E-3</v>
      </c>
    </row>
    <row r="19" spans="1:12">
      <c r="A19" s="38" t="s">
        <v>338</v>
      </c>
      <c r="B19" s="38" t="s">
        <v>28</v>
      </c>
      <c r="C19" s="40">
        <f>IFERROR('Historical Dataset'!G70/'Historical Dataset'!G$71,"")</f>
        <v>0</v>
      </c>
      <c r="D19" s="40">
        <f>IFERROR('Historical Dataset'!H70/'Historical Dataset'!H$71,"")</f>
        <v>0</v>
      </c>
      <c r="E19" s="40">
        <f>IFERROR('Historical Dataset'!I70/'Historical Dataset'!I$71,"")</f>
        <v>0</v>
      </c>
      <c r="F19" s="40">
        <f>IFERROR('Historical Dataset'!J70/'Historical Dataset'!J$71,"")</f>
        <v>-8.9077610225201474E-3</v>
      </c>
      <c r="G19" s="40">
        <f>IFERROR('Historical Dataset'!K70/'Historical Dataset'!K$71,"")</f>
        <v>-8.1901960540326675E-3</v>
      </c>
      <c r="H19" s="40">
        <f>IFERROR('Historical Dataset'!L70/'Historical Dataset'!L$71,"")</f>
        <v>-8.1670814278609546E-3</v>
      </c>
      <c r="I19" s="40">
        <f>IFERROR('Historical Dataset'!M70/'Historical Dataset'!M$71,"")</f>
        <v>-1.0270037463980799E-2</v>
      </c>
      <c r="J19" s="40">
        <f>IFERROR('Historical Dataset'!N70/'Historical Dataset'!N$71,"")</f>
        <v>-1.0814586824915104E-2</v>
      </c>
      <c r="K19" s="39">
        <f>'Historical Dataset'!N70</f>
        <v>-2371.4720000000002</v>
      </c>
      <c r="L19" s="40" t="str">
        <f>IFERROR(IF(AND('Historical Dataset'!G70&gt;0,'Historical Dataset'!N70&gt;0),('Historical Dataset'!N70/'Historical Dataset'!G70)^(1/7)-1,""),"")</f>
        <v/>
      </c>
    </row>
    <row r="20" spans="1:12">
      <c r="A20" s="41" t="s">
        <v>339</v>
      </c>
      <c r="B20" s="41" t="s">
        <v>28</v>
      </c>
      <c r="C20" s="42">
        <f>IFERROR('Historical Dataset'!G71/'Historical Dataset'!G$71,"")</f>
        <v>1</v>
      </c>
      <c r="D20" s="42">
        <f>IFERROR('Historical Dataset'!H71/'Historical Dataset'!H$71,"")</f>
        <v>1</v>
      </c>
      <c r="E20" s="42">
        <f>IFERROR('Historical Dataset'!I71/'Historical Dataset'!I$71,"")</f>
        <v>1</v>
      </c>
      <c r="F20" s="42">
        <f>IFERROR('Historical Dataset'!J71/'Historical Dataset'!J$71,"")</f>
        <v>1</v>
      </c>
      <c r="G20" s="42">
        <f>IFERROR('Historical Dataset'!K71/'Historical Dataset'!K$71,"")</f>
        <v>1</v>
      </c>
      <c r="H20" s="42">
        <f>IFERROR('Historical Dataset'!L71/'Historical Dataset'!L$71,"")</f>
        <v>1</v>
      </c>
      <c r="I20" s="42">
        <f>IFERROR('Historical Dataset'!M71/'Historical Dataset'!M$71,"")</f>
        <v>1</v>
      </c>
      <c r="J20" s="42">
        <f>IFERROR('Historical Dataset'!N71/'Historical Dataset'!N$71,"")</f>
        <v>1</v>
      </c>
      <c r="K20" s="43">
        <f>'Historical Dataset'!N71</f>
        <v>219284.568</v>
      </c>
      <c r="L20" s="42">
        <f>IFERROR(IF(AND('Historical Dataset'!G71&gt;0,'Historical Dataset'!N71&gt;0),('Historical Dataset'!N71/'Historical Dataset'!G71)^(1/7)-1,""),"")</f>
        <v>7.5927906324596117E-2</v>
      </c>
    </row>
    <row r="21" spans="1:1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>
      <c r="A22" s="203" t="s">
        <v>340</v>
      </c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</row>
    <row r="23" spans="1:12">
      <c r="A23" s="37" t="s">
        <v>341</v>
      </c>
      <c r="B23" s="37" t="s">
        <v>19</v>
      </c>
      <c r="C23" s="37">
        <v>2017</v>
      </c>
      <c r="D23" s="37">
        <v>2018</v>
      </c>
      <c r="E23" s="37">
        <v>2019</v>
      </c>
      <c r="F23" s="37">
        <v>2020</v>
      </c>
      <c r="G23" s="37">
        <v>2021</v>
      </c>
      <c r="H23" s="37">
        <v>2022</v>
      </c>
      <c r="I23" s="37">
        <v>2023</v>
      </c>
      <c r="J23" s="37">
        <v>2024</v>
      </c>
      <c r="K23" s="37">
        <v>2025</v>
      </c>
      <c r="L23" s="37" t="s">
        <v>332</v>
      </c>
    </row>
    <row r="24" spans="1:12">
      <c r="A24" s="38" t="s">
        <v>135</v>
      </c>
      <c r="B24" s="38" t="s">
        <v>28</v>
      </c>
      <c r="C24" s="40">
        <f>IFERROR('Historical Dataset'!F72/SUM('Historical Dataset'!F$72:F$78),"")</f>
        <v>0.29169380733066141</v>
      </c>
      <c r="D24" s="40">
        <f>IFERROR('Historical Dataset'!G72/SUM('Historical Dataset'!G$72:G$78),"")</f>
        <v>0.27722873227537886</v>
      </c>
      <c r="E24" s="40">
        <f>IFERROR('Historical Dataset'!H72/SUM('Historical Dataset'!H$72:H$78),"")</f>
        <v>0.2690420252179111</v>
      </c>
      <c r="F24" s="40">
        <f>IFERROR('Historical Dataset'!I72/SUM('Historical Dataset'!I$72:I$78),"")</f>
        <v>0.30639782320519082</v>
      </c>
      <c r="G24" s="40">
        <f>IFERROR('Historical Dataset'!J72/SUM('Historical Dataset'!J$72:J$78),"")</f>
        <v>0.27969628905617877</v>
      </c>
      <c r="H24" s="40">
        <f>IFERROR('Historical Dataset'!K72/SUM('Historical Dataset'!K$72:K$78),"")</f>
        <v>0.27458979780232867</v>
      </c>
      <c r="I24" s="40">
        <f>IFERROR('Historical Dataset'!L72/SUM('Historical Dataset'!L$72:L$78),"")</f>
        <v>0.28045141978009014</v>
      </c>
      <c r="J24" s="40">
        <f>IFERROR('Historical Dataset'!M72/SUM('Historical Dataset'!M$72:M$78),"")</f>
        <v>0.2839434699776639</v>
      </c>
      <c r="K24" s="40">
        <f>IFERROR('Historical Dataset'!N72/SUM('Historical Dataset'!N$72:N$78),"")</f>
        <v>0.29481143291957956</v>
      </c>
      <c r="L24" s="39">
        <f>'Historical Dataset'!N72</f>
        <v>68189</v>
      </c>
    </row>
    <row r="25" spans="1:12">
      <c r="A25" s="38" t="s">
        <v>342</v>
      </c>
      <c r="B25" s="38" t="s">
        <v>28</v>
      </c>
      <c r="C25" s="40">
        <f>IFERROR('Historical Dataset'!F73/SUM('Historical Dataset'!F$72:F$78),"")</f>
        <v>0.19610247292958244</v>
      </c>
      <c r="D25" s="40">
        <f>IFERROR('Historical Dataset'!G73/SUM('Historical Dataset'!G$72:G$78),"")</f>
        <v>0.19660036851189652</v>
      </c>
      <c r="E25" s="40">
        <f>IFERROR('Historical Dataset'!H73/SUM('Historical Dataset'!H$72:H$78),"")</f>
        <v>0.20375905356373292</v>
      </c>
      <c r="F25" s="40">
        <f>IFERROR('Historical Dataset'!I73/SUM('Historical Dataset'!I$72:I$78),"")</f>
        <v>0.17828089025326171</v>
      </c>
      <c r="G25" s="40">
        <f>IFERROR('Historical Dataset'!J73/SUM('Historical Dataset'!J$72:J$78),"")</f>
        <v>0.16799254315841258</v>
      </c>
      <c r="H25" s="40">
        <f>IFERROR('Historical Dataset'!K73/SUM('Historical Dataset'!K$72:K$78),"")</f>
        <v>0.1774753580893958</v>
      </c>
      <c r="I25" s="40">
        <f>IFERROR('Historical Dataset'!L73/SUM('Historical Dataset'!L$72:L$78),"")</f>
        <v>0.17110598829179099</v>
      </c>
      <c r="J25" s="40">
        <f>IFERROR('Historical Dataset'!M73/SUM('Historical Dataset'!M$72:M$78),"")</f>
        <v>0.17243956116147682</v>
      </c>
      <c r="K25" s="40">
        <f>IFERROR('Historical Dataset'!N73/SUM('Historical Dataset'!N$72:N$78),"")</f>
        <v>0.18035253375530164</v>
      </c>
      <c r="L25" s="39">
        <f>'Historical Dataset'!N73</f>
        <v>41715</v>
      </c>
    </row>
    <row r="26" spans="1:12">
      <c r="A26" s="38" t="s">
        <v>343</v>
      </c>
      <c r="B26" s="38" t="s">
        <v>28</v>
      </c>
      <c r="C26" s="40">
        <f>IFERROR('Historical Dataset'!F74/SUM('Historical Dataset'!F$72:F$78),"")</f>
        <v>0.42688879863287688</v>
      </c>
      <c r="D26" s="40">
        <f>IFERROR('Historical Dataset'!G74/SUM('Historical Dataset'!G$72:G$78),"")</f>
        <v>0.43353312601504634</v>
      </c>
      <c r="E26" s="40">
        <f>IFERROR('Historical Dataset'!H74/SUM('Historical Dataset'!H$72:H$78),"")</f>
        <v>0.44395479126409298</v>
      </c>
      <c r="F26" s="40">
        <f>IFERROR('Historical Dataset'!I74/SUM('Historical Dataset'!I$72:I$78),"")</f>
        <v>0.43827530872810994</v>
      </c>
      <c r="G26" s="40">
        <f>IFERROR('Historical Dataset'!J74/SUM('Historical Dataset'!J$72:J$78),"")</f>
        <v>0.47826706108525524</v>
      </c>
      <c r="H26" s="40">
        <f>IFERROR('Historical Dataset'!K74/SUM('Historical Dataset'!K$72:K$78),"")</f>
        <v>0.47801435335457548</v>
      </c>
      <c r="I26" s="40">
        <f>IFERROR('Historical Dataset'!L74/SUM('Historical Dataset'!L$72:L$78),"")</f>
        <v>0.47971216090677177</v>
      </c>
      <c r="J26" s="40">
        <f>IFERROR('Historical Dataset'!M74/SUM('Historical Dataset'!M$72:M$78),"")</f>
        <v>0.48323150702929968</v>
      </c>
      <c r="K26" s="40">
        <f>IFERROR('Historical Dataset'!N74/SUM('Historical Dataset'!N$72:N$78),"")</f>
        <v>0.46041669368820176</v>
      </c>
      <c r="L26" s="39">
        <f>'Historical Dataset'!N74</f>
        <v>106493</v>
      </c>
    </row>
    <row r="27" spans="1:12">
      <c r="A27" s="38" t="s">
        <v>344</v>
      </c>
      <c r="B27" s="38" t="s">
        <v>28</v>
      </c>
      <c r="C27" s="40">
        <f>IFERROR('Historical Dataset'!F75/SUM('Historical Dataset'!F$72:F$78),"")</f>
        <v>3.1725839700213806E-3</v>
      </c>
      <c r="D27" s="40">
        <f>IFERROR('Historical Dataset'!G75/SUM('Historical Dataset'!G$72:G$78),"")</f>
        <v>3.3792395254498976E-3</v>
      </c>
      <c r="E27" s="40">
        <f>IFERROR('Historical Dataset'!H75/SUM('Historical Dataset'!H$72:H$78),"")</f>
        <v>4.5737005268791792E-3</v>
      </c>
      <c r="F27" s="40">
        <f>IFERROR('Historical Dataset'!I75/SUM('Historical Dataset'!I$72:I$78),"")</f>
        <v>5.3443103327984369E-3</v>
      </c>
      <c r="G27" s="40">
        <f>IFERROR('Historical Dataset'!J75/SUM('Historical Dataset'!J$72:J$78),"")</f>
        <v>5.314294221595065E-3</v>
      </c>
      <c r="H27" s="40">
        <f>IFERROR('Historical Dataset'!K75/SUM('Historical Dataset'!K$72:K$78),"")</f>
        <v>5.4971561299544383E-3</v>
      </c>
      <c r="I27" s="40">
        <f>IFERROR('Historical Dataset'!L75/SUM('Historical Dataset'!L$72:L$78),"")</f>
        <v>4.6596902387353954E-3</v>
      </c>
      <c r="J27" s="40">
        <f>IFERROR('Historical Dataset'!M75/SUM('Historical Dataset'!M$72:M$78),"")</f>
        <v>5.4115753514649848E-3</v>
      </c>
      <c r="K27" s="40">
        <f>IFERROR('Historical Dataset'!N75/SUM('Historical Dataset'!N$72:N$78),"")</f>
        <v>7.0904508056740898E-3</v>
      </c>
      <c r="L27" s="39">
        <f>'Historical Dataset'!N75</f>
        <v>1640</v>
      </c>
    </row>
    <row r="28" spans="1:12">
      <c r="A28" s="38" t="s">
        <v>345</v>
      </c>
      <c r="B28" s="38" t="s">
        <v>28</v>
      </c>
      <c r="C28" s="40">
        <f>IFERROR('Historical Dataset'!F76/SUM('Historical Dataset'!F$72:F$78),"")</f>
        <v>0</v>
      </c>
      <c r="D28" s="40">
        <f>IFERROR('Historical Dataset'!G76/SUM('Historical Dataset'!G$72:G$78),"")</f>
        <v>0</v>
      </c>
      <c r="E28" s="40">
        <f>IFERROR('Historical Dataset'!H76/SUM('Historical Dataset'!H$72:H$78),"")</f>
        <v>0</v>
      </c>
      <c r="F28" s="40">
        <f>IFERROR('Historical Dataset'!I76/SUM('Historical Dataset'!I$72:I$78),"")</f>
        <v>0</v>
      </c>
      <c r="G28" s="40">
        <f>IFERROR('Historical Dataset'!J76/SUM('Historical Dataset'!J$72:J$78),"")</f>
        <v>0</v>
      </c>
      <c r="H28" s="40">
        <f>IFERROR('Historical Dataset'!K76/SUM('Historical Dataset'!K$72:K$78),"")</f>
        <v>0</v>
      </c>
      <c r="I28" s="40">
        <f>IFERROR('Historical Dataset'!L76/SUM('Historical Dataset'!L$72:L$78),"")</f>
        <v>0</v>
      </c>
      <c r="J28" s="40">
        <f>IFERROR('Historical Dataset'!M76/SUM('Historical Dataset'!M$72:M$78),"")</f>
        <v>9.8541584548679539E-5</v>
      </c>
      <c r="K28" s="40">
        <f>IFERROR('Historical Dataset'!N76/SUM('Historical Dataset'!N$72:N$78),"")</f>
        <v>3.6749287712335222E-4</v>
      </c>
      <c r="L28" s="39">
        <f>'Historical Dataset'!N76</f>
        <v>85</v>
      </c>
    </row>
    <row r="29" spans="1:12">
      <c r="A29" s="38" t="s">
        <v>148</v>
      </c>
      <c r="B29" s="38" t="s">
        <v>28</v>
      </c>
      <c r="C29" s="40">
        <f>IFERROR('Historical Dataset'!F77/SUM('Historical Dataset'!F$72:F$78),"")</f>
        <v>2.6284934824090181E-3</v>
      </c>
      <c r="D29" s="40">
        <f>IFERROR('Historical Dataset'!G77/SUM('Historical Dataset'!G$72:G$78),"")</f>
        <v>2.9859659599880562E-3</v>
      </c>
      <c r="E29" s="40">
        <f>IFERROR('Historical Dataset'!H77/SUM('Historical Dataset'!H$72:H$78),"")</f>
        <v>3.7951983095380424E-3</v>
      </c>
      <c r="F29" s="40">
        <f>IFERROR('Historical Dataset'!I77/SUM('Historical Dataset'!I$72:I$78),"")</f>
        <v>1.4372427265750367E-3</v>
      </c>
      <c r="G29" s="40">
        <f>IFERROR('Historical Dataset'!J77/SUM('Historical Dataset'!J$72:J$78),"")</f>
        <v>1.6117652389490513E-3</v>
      </c>
      <c r="H29" s="40">
        <f>IFERROR('Historical Dataset'!K77/SUM('Historical Dataset'!K$72:K$78),"")</f>
        <v>1.5842291772133052E-3</v>
      </c>
      <c r="I29" s="40">
        <f>IFERROR('Historical Dataset'!L77/SUM('Historical Dataset'!L$72:L$78),"")</f>
        <v>2.7623902048199284E-3</v>
      </c>
      <c r="J29" s="40">
        <f>IFERROR('Historical Dataset'!M77/SUM('Historical Dataset'!M$72:M$78),"")</f>
        <v>3.843121797398502E-3</v>
      </c>
      <c r="K29" s="40">
        <f>IFERROR('Historical Dataset'!N77/SUM('Historical Dataset'!N$72:N$78),"")</f>
        <v>5.0238438025568856E-3</v>
      </c>
      <c r="L29" s="39">
        <f>'Historical Dataset'!N77</f>
        <v>1162</v>
      </c>
    </row>
    <row r="30" spans="1:12">
      <c r="A30" s="38" t="s">
        <v>346</v>
      </c>
      <c r="B30" s="38" t="s">
        <v>28</v>
      </c>
      <c r="C30" s="40">
        <f>IFERROR('Historical Dataset'!F78/SUM('Historical Dataset'!F$72:F$78),"")</f>
        <v>7.9513843654448899E-2</v>
      </c>
      <c r="D30" s="40">
        <f>IFERROR('Historical Dataset'!G78/SUM('Historical Dataset'!G$72:G$78),"")</f>
        <v>8.6272567712240275E-2</v>
      </c>
      <c r="E30" s="40">
        <f>IFERROR('Historical Dataset'!H78/SUM('Historical Dataset'!H$72:H$78),"")</f>
        <v>7.4875231117845775E-2</v>
      </c>
      <c r="F30" s="40">
        <f>IFERROR('Historical Dataset'!I78/SUM('Historical Dataset'!I$72:I$78),"")</f>
        <v>7.0264424754064053E-2</v>
      </c>
      <c r="G30" s="40">
        <f>IFERROR('Historical Dataset'!J78/SUM('Historical Dataset'!J$72:J$78),"")</f>
        <v>6.7118047239609291E-2</v>
      </c>
      <c r="H30" s="40">
        <f>IFERROR('Historical Dataset'!K78/SUM('Historical Dataset'!K$72:K$78),"")</f>
        <v>6.2839105446532262E-2</v>
      </c>
      <c r="I30" s="40">
        <f>IFERROR('Historical Dataset'!L78/SUM('Historical Dataset'!L$72:L$78),"")</f>
        <v>6.1308350577791756E-2</v>
      </c>
      <c r="J30" s="40">
        <f>IFERROR('Historical Dataset'!M78/SUM('Historical Dataset'!M$72:M$78),"")</f>
        <v>5.1032223098147415E-2</v>
      </c>
      <c r="K30" s="40">
        <f>IFERROR('Historical Dataset'!N78/SUM('Historical Dataset'!N$72:N$78),"")</f>
        <v>5.1937552151562712E-2</v>
      </c>
      <c r="L30" s="39">
        <f>'Historical Dataset'!N78</f>
        <v>12013</v>
      </c>
    </row>
    <row r="31" spans="1:12">
      <c r="A31" s="41" t="s">
        <v>347</v>
      </c>
      <c r="B31" s="41" t="s">
        <v>28</v>
      </c>
      <c r="C31" s="42">
        <f>IFERROR(SUM('Historical Dataset'!F$72:F$78)/SUM('Historical Dataset'!F$72:F$78),"")</f>
        <v>1</v>
      </c>
      <c r="D31" s="42">
        <f>IFERROR(SUM('Historical Dataset'!G$72:G$78)/SUM('Historical Dataset'!G$72:G$78),"")</f>
        <v>1</v>
      </c>
      <c r="E31" s="42">
        <f>IFERROR(SUM('Historical Dataset'!H$72:H$78)/SUM('Historical Dataset'!H$72:H$78),"")</f>
        <v>1</v>
      </c>
      <c r="F31" s="42">
        <f>IFERROR(SUM('Historical Dataset'!I$72:I$78)/SUM('Historical Dataset'!I$72:I$78),"")</f>
        <v>1</v>
      </c>
      <c r="G31" s="42">
        <f>IFERROR(SUM('Historical Dataset'!J$72:J$78)/SUM('Historical Dataset'!J$72:J$78),"")</f>
        <v>1</v>
      </c>
      <c r="H31" s="42">
        <f>IFERROR(SUM('Historical Dataset'!K$72:K$78)/SUM('Historical Dataset'!K$72:K$78),"")</f>
        <v>1</v>
      </c>
      <c r="I31" s="42">
        <f>IFERROR(SUM('Historical Dataset'!L$72:L$78)/SUM('Historical Dataset'!L$72:L$78),"")</f>
        <v>1</v>
      </c>
      <c r="J31" s="42">
        <f>IFERROR(SUM('Historical Dataset'!M$72:M$78)/SUM('Historical Dataset'!M$72:M$78),"")</f>
        <v>1</v>
      </c>
      <c r="K31" s="42">
        <f>IFERROR(SUM('Historical Dataset'!N$72:N$78)/SUM('Historical Dataset'!N$72:N$78),"")</f>
        <v>1</v>
      </c>
      <c r="L31" s="43">
        <f>SUM('Historical Dataset'!N$72:N$78)</f>
        <v>231297</v>
      </c>
    </row>
    <row r="33" spans="1:12">
      <c r="A33" s="203" t="s">
        <v>348</v>
      </c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</row>
    <row r="34" spans="1:12" ht="29.25" customHeight="1">
      <c r="A34" s="37" t="s">
        <v>349</v>
      </c>
      <c r="B34" s="37" t="s">
        <v>19</v>
      </c>
      <c r="C34" s="37">
        <v>2018</v>
      </c>
      <c r="D34" s="37">
        <v>2019</v>
      </c>
      <c r="E34" s="37">
        <v>2020</v>
      </c>
      <c r="F34" s="37">
        <v>2021</v>
      </c>
      <c r="G34" s="37">
        <v>2022</v>
      </c>
      <c r="H34" s="37">
        <v>2023</v>
      </c>
      <c r="I34" s="37">
        <v>2024</v>
      </c>
      <c r="J34" s="37">
        <v>2025</v>
      </c>
      <c r="K34" s="37" t="s">
        <v>332</v>
      </c>
      <c r="L34" s="37" t="s">
        <v>350</v>
      </c>
    </row>
    <row r="35" spans="1:12">
      <c r="A35" s="38" t="s">
        <v>351</v>
      </c>
      <c r="B35" s="38" t="s">
        <v>28</v>
      </c>
      <c r="C35" s="40">
        <f>IFERROR('Historical Dataset'!G90/'Historical Dataset'!G$95,"")</f>
        <v>0.62776135912376907</v>
      </c>
      <c r="D35" s="40">
        <f>IFERROR('Historical Dataset'!H90/'Historical Dataset'!H$95,"")</f>
        <v>0.78620333751677263</v>
      </c>
      <c r="E35" s="40">
        <f>IFERROR('Historical Dataset'!I90/'Historical Dataset'!I$95,"")</f>
        <v>0.85080600331485723</v>
      </c>
      <c r="F35" s="40">
        <f>IFERROR('Historical Dataset'!J90/'Historical Dataset'!J$95,"")</f>
        <v>0.80701853854532435</v>
      </c>
      <c r="G35" s="40">
        <f>IFERROR('Historical Dataset'!K90/'Historical Dataset'!K$95,"")</f>
        <v>0.68732375671138579</v>
      </c>
      <c r="H35" s="40">
        <f>IFERROR('Historical Dataset'!L90/'Historical Dataset'!L$95,"")</f>
        <v>0.65074398123412813</v>
      </c>
      <c r="I35" s="40">
        <f>IFERROR('Historical Dataset'!M90/'Historical Dataset'!M$95,"")</f>
        <v>0.70625710662710806</v>
      </c>
      <c r="J35" s="40">
        <f>IFERROR('Historical Dataset'!N90/'Historical Dataset'!N$95,"")</f>
        <v>0.69147453500830414</v>
      </c>
      <c r="K35" s="39">
        <f>'Historical Dataset'!N90</f>
        <v>-100031.19899999999</v>
      </c>
      <c r="L35" s="40">
        <f>IFERROR(ABS(K35)/'Historical Dataset'!N$71,"")</f>
        <v>0.45617071877123605</v>
      </c>
    </row>
    <row r="36" spans="1:12">
      <c r="A36" s="38" t="s">
        <v>352</v>
      </c>
      <c r="B36" s="38" t="s">
        <v>28</v>
      </c>
      <c r="C36" s="40">
        <f>IFERROR('Historical Dataset'!G91/'Historical Dataset'!G$95,"")</f>
        <v>9.172675461218241E-2</v>
      </c>
      <c r="D36" s="40">
        <f>IFERROR('Historical Dataset'!H91/'Historical Dataset'!H$95,"")</f>
        <v>1.0933764792856744E-2</v>
      </c>
      <c r="E36" s="40">
        <f>IFERROR('Historical Dataset'!I91/'Historical Dataset'!I$95,"")</f>
        <v>2.2787381196888772E-2</v>
      </c>
      <c r="F36" s="40">
        <f>IFERROR('Historical Dataset'!J91/'Historical Dataset'!J$95,"")</f>
        <v>7.4278528551269374E-2</v>
      </c>
      <c r="G36" s="40">
        <f>IFERROR('Historical Dataset'!K91/'Historical Dataset'!K$95,"")</f>
        <v>7.7314432799356805E-2</v>
      </c>
      <c r="H36" s="40">
        <f>IFERROR('Historical Dataset'!L91/'Historical Dataset'!L$95,"")</f>
        <v>0.11131724187262274</v>
      </c>
      <c r="I36" s="40">
        <f>IFERROR('Historical Dataset'!M91/'Historical Dataset'!M$95,"")</f>
        <v>0</v>
      </c>
      <c r="J36" s="40">
        <f>IFERROR('Historical Dataset'!N91/'Historical Dataset'!N$95,"")</f>
        <v>0</v>
      </c>
      <c r="K36" s="39">
        <f>'Historical Dataset'!N91</f>
        <v>0</v>
      </c>
      <c r="L36" s="40">
        <f>IFERROR(ABS(K36)/'Historical Dataset'!N$71,"")</f>
        <v>0</v>
      </c>
    </row>
    <row r="37" spans="1:12">
      <c r="A37" s="38" t="s">
        <v>353</v>
      </c>
      <c r="B37" s="38" t="s">
        <v>28</v>
      </c>
      <c r="C37" s="40">
        <f>IFERROR('Historical Dataset'!G92/'Historical Dataset'!G$95,"")</f>
        <v>0</v>
      </c>
      <c r="D37" s="40">
        <f>IFERROR('Historical Dataset'!H92/'Historical Dataset'!H$95,"")</f>
        <v>0</v>
      </c>
      <c r="E37" s="40">
        <f>IFERROR('Historical Dataset'!I92/'Historical Dataset'!I$95,"")</f>
        <v>0</v>
      </c>
      <c r="F37" s="40">
        <f>IFERROR('Historical Dataset'!J92/'Historical Dataset'!J$95,"")</f>
        <v>0</v>
      </c>
      <c r="G37" s="40">
        <f>IFERROR('Historical Dataset'!K92/'Historical Dataset'!K$95,"")</f>
        <v>9.5742046086404829E-3</v>
      </c>
      <c r="H37" s="40">
        <f>IFERROR('Historical Dataset'!L92/'Historical Dataset'!L$95,"")</f>
        <v>3.7040260272763748E-2</v>
      </c>
      <c r="I37" s="40">
        <f>IFERROR('Historical Dataset'!M92/'Historical Dataset'!M$95,"")</f>
        <v>1.8558170202942375E-3</v>
      </c>
      <c r="J37" s="40">
        <f>IFERROR('Historical Dataset'!N92/'Historical Dataset'!N$95,"")</f>
        <v>2.8763972804355317E-3</v>
      </c>
      <c r="K37" s="39">
        <f>'Historical Dataset'!N92</f>
        <v>-416.11</v>
      </c>
      <c r="L37" s="40">
        <f>IFERROR(ABS(K37)/'Historical Dataset'!N$71,"")</f>
        <v>1.8975799519097942E-3</v>
      </c>
    </row>
    <row r="38" spans="1:12">
      <c r="A38" s="38" t="s">
        <v>176</v>
      </c>
      <c r="B38" s="38" t="s">
        <v>28</v>
      </c>
      <c r="C38" s="40">
        <f>IFERROR('Historical Dataset'!G93/'Historical Dataset'!G$95,"")</f>
        <v>0.28051188626404849</v>
      </c>
      <c r="D38" s="40">
        <f>IFERROR('Historical Dataset'!H93/'Historical Dataset'!H$95,"")</f>
        <v>0.20286289769037052</v>
      </c>
      <c r="E38" s="40">
        <f>IFERROR('Historical Dataset'!I93/'Historical Dataset'!I$95,"")</f>
        <v>0.12640661548825391</v>
      </c>
      <c r="F38" s="40">
        <f>IFERROR('Historical Dataset'!J93/'Historical Dataset'!J$95,"")</f>
        <v>0.11870293290340628</v>
      </c>
      <c r="G38" s="40">
        <f>IFERROR('Historical Dataset'!K93/'Historical Dataset'!K$95,"")</f>
        <v>0.22577640828946594</v>
      </c>
      <c r="H38" s="40">
        <f>IFERROR('Historical Dataset'!L93/'Historical Dataset'!L$95,"")</f>
        <v>0.19567061323054144</v>
      </c>
      <c r="I38" s="40">
        <f>IFERROR('Historical Dataset'!M93/'Historical Dataset'!M$95,"")</f>
        <v>0.29053821820955966</v>
      </c>
      <c r="J38" s="40">
        <f>IFERROR('Historical Dataset'!N93/'Historical Dataset'!N$95,"")</f>
        <v>0.30552387381746776</v>
      </c>
      <c r="K38" s="39">
        <f>'Historical Dataset'!N93</f>
        <v>-44198.184999999998</v>
      </c>
      <c r="L38" s="40">
        <f>IFERROR(ABS(K38)/'Historical Dataset'!N$71,"")</f>
        <v>0.20155629464997279</v>
      </c>
    </row>
    <row r="39" spans="1:12">
      <c r="A39" s="38" t="s">
        <v>354</v>
      </c>
      <c r="B39" s="38" t="s">
        <v>28</v>
      </c>
      <c r="C39" s="40">
        <f>IFERROR('Historical Dataset'!G94/'Historical Dataset'!G$95,"")</f>
        <v>0</v>
      </c>
      <c r="D39" s="40">
        <f>IFERROR('Historical Dataset'!H94/'Historical Dataset'!H$95,"")</f>
        <v>0</v>
      </c>
      <c r="E39" s="40">
        <f>IFERROR('Historical Dataset'!I94/'Historical Dataset'!I$95,"")</f>
        <v>0</v>
      </c>
      <c r="F39" s="40">
        <f>IFERROR('Historical Dataset'!J94/'Historical Dataset'!J$95,"")</f>
        <v>0</v>
      </c>
      <c r="G39" s="40">
        <f>IFERROR('Historical Dataset'!K94/'Historical Dataset'!K$95,"")</f>
        <v>1.119759115101241E-5</v>
      </c>
      <c r="H39" s="40">
        <f>IFERROR('Historical Dataset'!L94/'Historical Dataset'!L$95,"")</f>
        <v>5.2279033899439555E-3</v>
      </c>
      <c r="I39" s="40">
        <f>IFERROR('Historical Dataset'!M94/'Historical Dataset'!M$95,"")</f>
        <v>1.3488581430380045E-3</v>
      </c>
      <c r="J39" s="40">
        <f>IFERROR('Historical Dataset'!N94/'Historical Dataset'!N$95,"")</f>
        <v>1.2519389379242967E-4</v>
      </c>
      <c r="K39" s="39">
        <f>'Historical Dataset'!N94</f>
        <v>-18.111000000000001</v>
      </c>
      <c r="L39" s="40">
        <f>IFERROR(ABS(K39)/'Historical Dataset'!N$71,"")</f>
        <v>8.2591311213473079E-5</v>
      </c>
    </row>
    <row r="40" spans="1:12">
      <c r="A40" s="41" t="s">
        <v>173</v>
      </c>
      <c r="B40" s="41" t="s">
        <v>28</v>
      </c>
      <c r="C40" s="42">
        <f>IFERROR('Historical Dataset'!G95/'Historical Dataset'!G$95,"")</f>
        <v>1</v>
      </c>
      <c r="D40" s="42">
        <f>IFERROR('Historical Dataset'!H95/'Historical Dataset'!H$95,"")</f>
        <v>1</v>
      </c>
      <c r="E40" s="42">
        <f>IFERROR('Historical Dataset'!I95/'Historical Dataset'!I$95,"")</f>
        <v>1</v>
      </c>
      <c r="F40" s="42">
        <f>IFERROR('Historical Dataset'!J95/'Historical Dataset'!J$95,"")</f>
        <v>1</v>
      </c>
      <c r="G40" s="42">
        <f>IFERROR('Historical Dataset'!K95/'Historical Dataset'!K$95,"")</f>
        <v>1</v>
      </c>
      <c r="H40" s="42">
        <f>IFERROR('Historical Dataset'!L95/'Historical Dataset'!L$95,"")</f>
        <v>1</v>
      </c>
      <c r="I40" s="42">
        <f>IFERROR('Historical Dataset'!M95/'Historical Dataset'!M$95,"")</f>
        <v>1</v>
      </c>
      <c r="J40" s="42">
        <f>IFERROR('Historical Dataset'!N95/'Historical Dataset'!N$95,"")</f>
        <v>1</v>
      </c>
      <c r="K40" s="43">
        <f>'Historical Dataset'!N95</f>
        <v>-144663.60500000001</v>
      </c>
      <c r="L40" s="42">
        <f>IFERROR(ABS(K40)/'Historical Dataset'!N$71,"")</f>
        <v>0.6597071846843322</v>
      </c>
    </row>
    <row r="41" spans="1:1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 spans="1:12">
      <c r="A42" s="203" t="s">
        <v>355</v>
      </c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</row>
    <row r="43" spans="1:12" ht="25.5">
      <c r="A43" s="37" t="s">
        <v>356</v>
      </c>
      <c r="B43" s="37" t="s">
        <v>19</v>
      </c>
      <c r="C43" s="37">
        <v>2018</v>
      </c>
      <c r="D43" s="37">
        <v>2019</v>
      </c>
      <c r="E43" s="37">
        <v>2020</v>
      </c>
      <c r="F43" s="37">
        <v>2021</v>
      </c>
      <c r="G43" s="37">
        <v>2022</v>
      </c>
      <c r="H43" s="37">
        <v>2023</v>
      </c>
      <c r="I43" s="37">
        <v>2024</v>
      </c>
      <c r="J43" s="37">
        <v>2025</v>
      </c>
      <c r="K43" s="37" t="s">
        <v>332</v>
      </c>
      <c r="L43" s="37" t="s">
        <v>357</v>
      </c>
    </row>
    <row r="44" spans="1:12">
      <c r="A44" s="38" t="s">
        <v>189</v>
      </c>
      <c r="B44" s="38" t="s">
        <v>28</v>
      </c>
      <c r="C44" s="40">
        <f>IFERROR('Historical Dataset'!G106/'Historical Dataset'!G$110,"")</f>
        <v>0.25398841390641957</v>
      </c>
      <c r="D44" s="40">
        <f>IFERROR('Historical Dataset'!H106/'Historical Dataset'!H$110,"")</f>
        <v>0.26327080980033196</v>
      </c>
      <c r="E44" s="40">
        <f>IFERROR('Historical Dataset'!I106/'Historical Dataset'!I$110,"")</f>
        <v>0.23244241584693182</v>
      </c>
      <c r="F44" s="40">
        <f>IFERROR('Historical Dataset'!J106/'Historical Dataset'!J$110,"")</f>
        <v>0.25682853803734074</v>
      </c>
      <c r="G44" s="40">
        <f>IFERROR('Historical Dataset'!K106/'Historical Dataset'!K$110,"")</f>
        <v>0.56038906823300427</v>
      </c>
      <c r="H44" s="40">
        <f>IFERROR('Historical Dataset'!L106/'Historical Dataset'!L$110,"")</f>
        <v>0.55427542600726776</v>
      </c>
      <c r="I44" s="40">
        <f>IFERROR('Historical Dataset'!M106/'Historical Dataset'!M$110,"")</f>
        <v>0.49641190805839469</v>
      </c>
      <c r="J44" s="40">
        <f>IFERROR('Historical Dataset'!N106/'Historical Dataset'!N$110,"")</f>
        <v>0.5739579496092978</v>
      </c>
      <c r="K44" s="39">
        <f>'Historical Dataset'!N106</f>
        <v>-24348.120999999999</v>
      </c>
      <c r="L44" s="40">
        <f>IFERROR(K44/'Historical Dataset'!N$71,"")</f>
        <v>-0.11103435696396109</v>
      </c>
    </row>
    <row r="45" spans="1:12">
      <c r="A45" s="38" t="s">
        <v>191</v>
      </c>
      <c r="B45" s="38" t="s">
        <v>28</v>
      </c>
      <c r="C45" s="40">
        <f>IFERROR('Historical Dataset'!G107/'Historical Dataset'!G$110,"")</f>
        <v>0.34615653686864567</v>
      </c>
      <c r="D45" s="40">
        <f>IFERROR('Historical Dataset'!H107/'Historical Dataset'!H$110,"")</f>
        <v>0.186976009263944</v>
      </c>
      <c r="E45" s="40">
        <f>IFERROR('Historical Dataset'!I107/'Historical Dataset'!I$110,"")</f>
        <v>0.13921790835734341</v>
      </c>
      <c r="F45" s="40">
        <f>IFERROR('Historical Dataset'!J107/'Historical Dataset'!J$110,"")</f>
        <v>0.14463590952155583</v>
      </c>
      <c r="G45" s="40">
        <f>IFERROR('Historical Dataset'!K107/'Historical Dataset'!K$110,"")</f>
        <v>0.13232188212313648</v>
      </c>
      <c r="H45" s="40">
        <f>IFERROR('Historical Dataset'!L107/'Historical Dataset'!L$110,"")</f>
        <v>7.9846510699840612E-2</v>
      </c>
      <c r="I45" s="40">
        <f>IFERROR('Historical Dataset'!M107/'Historical Dataset'!M$110,"")</f>
        <v>0.12870527790790337</v>
      </c>
      <c r="J45" s="40">
        <f>IFERROR('Historical Dataset'!N107/'Historical Dataset'!N$110,"")</f>
        <v>0.14421991409673368</v>
      </c>
      <c r="K45" s="39">
        <f>'Historical Dataset'!N107</f>
        <v>-6118.0159999999996</v>
      </c>
      <c r="L45" s="40">
        <f>IFERROR(K45/'Historical Dataset'!N$71,"")</f>
        <v>-2.7899893074099038E-2</v>
      </c>
    </row>
    <row r="46" spans="1:12">
      <c r="A46" s="38" t="s">
        <v>192</v>
      </c>
      <c r="B46" s="38" t="s">
        <v>28</v>
      </c>
      <c r="C46" s="40">
        <f>IFERROR('Historical Dataset'!G108/'Historical Dataset'!G$110,"")</f>
        <v>0.39985504922493476</v>
      </c>
      <c r="D46" s="40">
        <f>IFERROR('Historical Dataset'!H108/'Historical Dataset'!H$110,"")</f>
        <v>0.51480570847082796</v>
      </c>
      <c r="E46" s="40">
        <f>IFERROR('Historical Dataset'!I108/'Historical Dataset'!I$110,"")</f>
        <v>0.56002728659840306</v>
      </c>
      <c r="F46" s="40">
        <f>IFERROR('Historical Dataset'!J108/'Historical Dataset'!J$110,"")</f>
        <v>0.58964987249993828</v>
      </c>
      <c r="G46" s="40">
        <f>IFERROR('Historical Dataset'!K108/'Historical Dataset'!K$110,"")</f>
        <v>0.33029846157054521</v>
      </c>
      <c r="H46" s="40">
        <f>IFERROR('Historical Dataset'!L108/'Historical Dataset'!L$110,"")</f>
        <v>0.30227901714125144</v>
      </c>
      <c r="I46" s="40">
        <f>IFERROR('Historical Dataset'!M108/'Historical Dataset'!M$110,"")</f>
        <v>0.34941735413065828</v>
      </c>
      <c r="J46" s="40">
        <f>IFERROR('Historical Dataset'!N108/'Historical Dataset'!N$110,"")</f>
        <v>0.386324583959756</v>
      </c>
      <c r="K46" s="39">
        <f>'Historical Dataset'!N108</f>
        <v>-16388.444</v>
      </c>
      <c r="L46" s="40">
        <f>IFERROR(K46/'Historical Dataset'!N$71,"")</f>
        <v>-7.4735965916215313E-2</v>
      </c>
    </row>
    <row r="47" spans="1:12">
      <c r="A47" s="38" t="s">
        <v>193</v>
      </c>
      <c r="B47" s="38" t="s">
        <v>28</v>
      </c>
      <c r="C47" s="40">
        <f>IFERROR('Historical Dataset'!G109/'Historical Dataset'!G$110,"")</f>
        <v>0</v>
      </c>
      <c r="D47" s="40">
        <f>IFERROR('Historical Dataset'!H109/'Historical Dataset'!H$110,"")</f>
        <v>3.4947472464896087E-2</v>
      </c>
      <c r="E47" s="40">
        <f>IFERROR('Historical Dataset'!I109/'Historical Dataset'!I$110,"")</f>
        <v>6.8312389197321743E-2</v>
      </c>
      <c r="F47" s="40">
        <f>IFERROR('Historical Dataset'!J109/'Historical Dataset'!J$110,"")</f>
        <v>8.8856799411652036E-3</v>
      </c>
      <c r="G47" s="40">
        <f>IFERROR('Historical Dataset'!K109/'Historical Dataset'!K$110,"")</f>
        <v>-2.3009411926685919E-2</v>
      </c>
      <c r="H47" s="40">
        <f>IFERROR('Historical Dataset'!L109/'Historical Dataset'!L$110,"")</f>
        <v>6.3599046151640082E-2</v>
      </c>
      <c r="I47" s="40">
        <f>IFERROR('Historical Dataset'!M109/'Historical Dataset'!M$110,"")</f>
        <v>2.5465459903043653E-2</v>
      </c>
      <c r="J47" s="40">
        <f>IFERROR('Historical Dataset'!N109/'Historical Dataset'!N$110,"")</f>
        <v>-0.10450244766578748</v>
      </c>
      <c r="K47" s="39">
        <f>'Historical Dataset'!N109</f>
        <v>4433.1440000000002</v>
      </c>
      <c r="L47" s="40">
        <f>IFERROR(K47/'Historical Dataset'!N$71,"")</f>
        <v>2.0216397535096953E-2</v>
      </c>
    </row>
    <row r="48" spans="1:12">
      <c r="A48" s="41" t="s">
        <v>187</v>
      </c>
      <c r="B48" s="41" t="s">
        <v>28</v>
      </c>
      <c r="C48" s="42">
        <f>IFERROR('Historical Dataset'!G110/'Historical Dataset'!G$110,"")</f>
        <v>1</v>
      </c>
      <c r="D48" s="42">
        <f>IFERROR('Historical Dataset'!H110/'Historical Dataset'!H$110,"")</f>
        <v>1</v>
      </c>
      <c r="E48" s="42">
        <f>IFERROR('Historical Dataset'!I110/'Historical Dataset'!I$110,"")</f>
        <v>1</v>
      </c>
      <c r="F48" s="42">
        <f>IFERROR('Historical Dataset'!J110/'Historical Dataset'!J$110,"")</f>
        <v>1</v>
      </c>
      <c r="G48" s="42">
        <f>IFERROR('Historical Dataset'!K110/'Historical Dataset'!K$110,"")</f>
        <v>1</v>
      </c>
      <c r="H48" s="42">
        <f>IFERROR('Historical Dataset'!L110/'Historical Dataset'!L$110,"")</f>
        <v>1</v>
      </c>
      <c r="I48" s="42">
        <f>IFERROR('Historical Dataset'!M110/'Historical Dataset'!M$110,"")</f>
        <v>1</v>
      </c>
      <c r="J48" s="42">
        <f>IFERROR('Historical Dataset'!N110/'Historical Dataset'!N$110,"")</f>
        <v>1</v>
      </c>
      <c r="K48" s="43">
        <f>'Historical Dataset'!N110</f>
        <v>-42421.436999999998</v>
      </c>
      <c r="L48" s="42">
        <f>IFERROR(K48/'Historical Dataset'!N$71,"")</f>
        <v>-0.1934538184191785</v>
      </c>
    </row>
    <row r="49" spans="1:1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 spans="1:12">
      <c r="A50" s="203" t="s">
        <v>358</v>
      </c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</row>
    <row r="51" spans="1:12">
      <c r="A51" s="37" t="s">
        <v>359</v>
      </c>
      <c r="B51" s="37" t="s">
        <v>19</v>
      </c>
      <c r="C51" s="37">
        <v>2018</v>
      </c>
      <c r="D51" s="37">
        <v>2019</v>
      </c>
      <c r="E51" s="37">
        <v>2020</v>
      </c>
      <c r="F51" s="37">
        <v>2021</v>
      </c>
      <c r="G51" s="37">
        <v>2022</v>
      </c>
      <c r="H51" s="37">
        <v>2023</v>
      </c>
      <c r="I51" s="37">
        <v>2024</v>
      </c>
      <c r="J51" s="37">
        <v>2025</v>
      </c>
      <c r="K51" s="37" t="s">
        <v>332</v>
      </c>
      <c r="L51" s="37" t="s">
        <v>333</v>
      </c>
    </row>
    <row r="52" spans="1:12">
      <c r="A52" s="38" t="s">
        <v>360</v>
      </c>
      <c r="B52" s="38" t="s">
        <v>28</v>
      </c>
      <c r="C52" s="40">
        <f>IFERROR('Historical Dataset'!G80/'Historical Dataset'!G$88,"")</f>
        <v>0</v>
      </c>
      <c r="D52" s="40">
        <f>IFERROR('Historical Dataset'!H80/'Historical Dataset'!H$88,"")</f>
        <v>0</v>
      </c>
      <c r="E52" s="40">
        <f>IFERROR('Historical Dataset'!I80/'Historical Dataset'!I$88,"")</f>
        <v>0</v>
      </c>
      <c r="F52" s="40">
        <f>IFERROR('Historical Dataset'!J80/'Historical Dataset'!J$88,"")</f>
        <v>0</v>
      </c>
      <c r="G52" s="40">
        <f>IFERROR('Historical Dataset'!K80/'Historical Dataset'!K$88,"")</f>
        <v>0.53024095803785876</v>
      </c>
      <c r="H52" s="40">
        <f>IFERROR('Historical Dataset'!L80/'Historical Dataset'!L$88,"")</f>
        <v>0.25927659730256286</v>
      </c>
      <c r="I52" s="40">
        <f>IFERROR('Historical Dataset'!M80/'Historical Dataset'!M$88,"")</f>
        <v>0</v>
      </c>
      <c r="J52" s="40">
        <f>IFERROR('Historical Dataset'!N80/'Historical Dataset'!N$88,"")</f>
        <v>0</v>
      </c>
      <c r="K52" s="39">
        <f>'Historical Dataset'!N80</f>
        <v>0</v>
      </c>
      <c r="L52" s="40" t="str">
        <f>IFERROR(IF(AND('Historical Dataset'!G80&gt;0,'Historical Dataset'!N80&gt;0),('Historical Dataset'!N80/'Historical Dataset'!G80)^(1/7)-1,""),"")</f>
        <v/>
      </c>
    </row>
    <row r="53" spans="1:12">
      <c r="A53" s="38" t="s">
        <v>197</v>
      </c>
      <c r="B53" s="38" t="s">
        <v>28</v>
      </c>
      <c r="C53" s="40">
        <f>IFERROR('Historical Dataset'!G81/'Historical Dataset'!G$88,"")</f>
        <v>0.74495006284637422</v>
      </c>
      <c r="D53" s="40">
        <f>IFERROR('Historical Dataset'!H81/'Historical Dataset'!H$88,"")</f>
        <v>0.74990516307699562</v>
      </c>
      <c r="E53" s="40">
        <f>IFERROR('Historical Dataset'!I81/'Historical Dataset'!I$88,"")</f>
        <v>0.74691447849586734</v>
      </c>
      <c r="F53" s="40">
        <f>IFERROR('Historical Dataset'!J81/'Historical Dataset'!J$88,"")</f>
        <v>0.67683887749407767</v>
      </c>
      <c r="G53" s="40">
        <f>IFERROR('Historical Dataset'!K81/'Historical Dataset'!K$88,"")</f>
        <v>0.2863838183395982</v>
      </c>
      <c r="H53" s="40">
        <f>IFERROR('Historical Dataset'!L81/'Historical Dataset'!L$88,"")</f>
        <v>0.39320406441684913</v>
      </c>
      <c r="I53" s="40">
        <f>IFERROR('Historical Dataset'!M81/'Historical Dataset'!M$88,"")</f>
        <v>0.50701060111419771</v>
      </c>
      <c r="J53" s="40">
        <f>IFERROR('Historical Dataset'!N81/'Historical Dataset'!N$88,"")</f>
        <v>0.38589998374746559</v>
      </c>
      <c r="K53" s="39">
        <f>'Historical Dataset'!N81</f>
        <v>2804.165</v>
      </c>
      <c r="L53" s="40">
        <f>IFERROR(IF(AND('Historical Dataset'!G81&gt;0,'Historical Dataset'!N81&gt;0),('Historical Dataset'!N81/'Historical Dataset'!G81)^(1/7)-1,""),"")</f>
        <v>-0.11955043622382566</v>
      </c>
    </row>
    <row r="54" spans="1:12">
      <c r="A54" s="38" t="s">
        <v>199</v>
      </c>
      <c r="B54" s="38" t="s">
        <v>28</v>
      </c>
      <c r="C54" s="40">
        <f>IFERROR('Historical Dataset'!G82/'Historical Dataset'!G$88,"")</f>
        <v>4.9098620866390878E-2</v>
      </c>
      <c r="D54" s="40">
        <f>IFERROR('Historical Dataset'!H82/'Historical Dataset'!H$88,"")</f>
        <v>5.7404728347102793E-2</v>
      </c>
      <c r="E54" s="40">
        <f>IFERROR('Historical Dataset'!I82/'Historical Dataset'!I$88,"")</f>
        <v>7.098584403600304E-2</v>
      </c>
      <c r="F54" s="40">
        <f>IFERROR('Historical Dataset'!J82/'Historical Dataset'!J$88,"")</f>
        <v>9.1259239873677497E-2</v>
      </c>
      <c r="G54" s="40">
        <f>IFERROR('Historical Dataset'!K82/'Historical Dataset'!K$88,"")</f>
        <v>5.2705725594512934E-2</v>
      </c>
      <c r="H54" s="40">
        <f>IFERROR('Historical Dataset'!L82/'Historical Dataset'!L$88,"")</f>
        <v>8.9311034003644971E-2</v>
      </c>
      <c r="I54" s="40">
        <f>IFERROR('Historical Dataset'!M82/'Historical Dataset'!M$88,"")</f>
        <v>0.12959890729332324</v>
      </c>
      <c r="J54" s="40">
        <f>IFERROR('Historical Dataset'!N82/'Historical Dataset'!N$88,"")</f>
        <v>0.12879177063036301</v>
      </c>
      <c r="K54" s="39">
        <f>'Historical Dataset'!N82</f>
        <v>935.87300000000005</v>
      </c>
      <c r="L54" s="40">
        <f>IFERROR(IF(AND('Historical Dataset'!G82&gt;0,'Historical Dataset'!N82&gt;0),('Historical Dataset'!N82/'Historical Dataset'!G82)^(1/7)-1,""),"")</f>
        <v>0.11005175691413083</v>
      </c>
    </row>
    <row r="55" spans="1:12">
      <c r="A55" s="38" t="s">
        <v>200</v>
      </c>
      <c r="B55" s="38" t="s">
        <v>28</v>
      </c>
      <c r="C55" s="40">
        <f>IFERROR('Historical Dataset'!G83/'Historical Dataset'!G$88,"")</f>
        <v>0.11113119551062461</v>
      </c>
      <c r="D55" s="40">
        <f>IFERROR('Historical Dataset'!H83/'Historical Dataset'!H$88,"")</f>
        <v>0.13466458710676746</v>
      </c>
      <c r="E55" s="40">
        <f>IFERROR('Historical Dataset'!I83/'Historical Dataset'!I$88,"")</f>
        <v>9.8509953384689541E-2</v>
      </c>
      <c r="F55" s="40">
        <f>IFERROR('Historical Dataset'!J83/'Historical Dataset'!J$88,"")</f>
        <v>0.10570228149164104</v>
      </c>
      <c r="G55" s="40">
        <f>IFERROR('Historical Dataset'!K83/'Historical Dataset'!K$88,"")</f>
        <v>4.7981165841170494E-2</v>
      </c>
      <c r="H55" s="40">
        <f>IFERROR('Historical Dataset'!L83/'Historical Dataset'!L$88,"")</f>
        <v>0.11885141953682235</v>
      </c>
      <c r="I55" s="40">
        <f>IFERROR('Historical Dataset'!M83/'Historical Dataset'!M$88,"")</f>
        <v>0.18246474491211212</v>
      </c>
      <c r="J55" s="40">
        <f>IFERROR('Historical Dataset'!N83/'Historical Dataset'!N$88,"")</f>
        <v>0.32196766034652718</v>
      </c>
      <c r="K55" s="39">
        <f>'Historical Dataset'!N83</f>
        <v>2339.5970000000002</v>
      </c>
      <c r="L55" s="40">
        <f>IFERROR(IF(AND('Historical Dataset'!G83&gt;0,'Historical Dataset'!N83&gt;0),('Historical Dataset'!N83/'Historical Dataset'!G83)^(1/7)-1,""),"")</f>
        <v>0.12592270687365925</v>
      </c>
    </row>
    <row r="56" spans="1:12">
      <c r="A56" s="38" t="s">
        <v>361</v>
      </c>
      <c r="B56" s="38" t="s">
        <v>28</v>
      </c>
      <c r="C56" s="40">
        <f>IFERROR('Historical Dataset'!G84/'Historical Dataset'!G$88,"")</f>
        <v>2.2491658255189402E-2</v>
      </c>
      <c r="D56" s="40">
        <f>IFERROR('Historical Dataset'!H84/'Historical Dataset'!H$88,"")</f>
        <v>8.5337507050893754E-3</v>
      </c>
      <c r="E56" s="40">
        <f>IFERROR('Historical Dataset'!I84/'Historical Dataset'!I$88,"")</f>
        <v>7.8589647602763969E-3</v>
      </c>
      <c r="F56" s="40">
        <f>IFERROR('Historical Dataset'!J84/'Historical Dataset'!J$88,"")</f>
        <v>2.1321038669378715E-3</v>
      </c>
      <c r="G56" s="40">
        <f>IFERROR('Historical Dataset'!K84/'Historical Dataset'!K$88,"")</f>
        <v>1.4165330785368838E-3</v>
      </c>
      <c r="H56" s="40">
        <f>IFERROR('Historical Dataset'!L84/'Historical Dataset'!L$88,"")</f>
        <v>0</v>
      </c>
      <c r="I56" s="40">
        <f>IFERROR('Historical Dataset'!M84/'Historical Dataset'!M$88,"")</f>
        <v>0</v>
      </c>
      <c r="J56" s="40">
        <f>IFERROR('Historical Dataset'!N84/'Historical Dataset'!N$88,"")</f>
        <v>0</v>
      </c>
      <c r="K56" s="39">
        <f>'Historical Dataset'!N84</f>
        <v>0</v>
      </c>
      <c r="L56" s="40" t="str">
        <f>IFERROR(IF(AND('Historical Dataset'!G84&gt;0,'Historical Dataset'!N84&gt;0),('Historical Dataset'!N84/'Historical Dataset'!G84)^(1/7)-1,""),"")</f>
        <v/>
      </c>
    </row>
    <row r="57" spans="1:12">
      <c r="A57" s="38" t="s">
        <v>201</v>
      </c>
      <c r="B57" s="38" t="s">
        <v>28</v>
      </c>
      <c r="C57" s="40">
        <f>IFERROR('Historical Dataset'!G85/'Historical Dataset'!G$88,"")</f>
        <v>4.2631916369867913E-2</v>
      </c>
      <c r="D57" s="40">
        <f>IFERROR('Historical Dataset'!H85/'Historical Dataset'!H$88,"")</f>
        <v>1.4986388557559811E-2</v>
      </c>
      <c r="E57" s="40">
        <f>IFERROR('Historical Dataset'!I85/'Historical Dataset'!I$88,"")</f>
        <v>2.8682554703649561E-2</v>
      </c>
      <c r="F57" s="40">
        <f>IFERROR('Historical Dataset'!J85/'Historical Dataset'!J$88,"")</f>
        <v>3.1715878816228914E-2</v>
      </c>
      <c r="G57" s="40">
        <f>IFERROR('Historical Dataset'!K85/'Historical Dataset'!K$88,"")</f>
        <v>1.458267930680885E-2</v>
      </c>
      <c r="H57" s="40">
        <f>IFERROR('Historical Dataset'!L85/'Historical Dataset'!L$88,"")</f>
        <v>1.9814928155452525E-2</v>
      </c>
      <c r="I57" s="40">
        <f>IFERROR('Historical Dataset'!M85/'Historical Dataset'!M$88,"")</f>
        <v>2.2429895713109872E-2</v>
      </c>
      <c r="J57" s="40">
        <f>IFERROR('Historical Dataset'!N85/'Historical Dataset'!N$88,"")</f>
        <v>1.8674588618904763E-2</v>
      </c>
      <c r="K57" s="39">
        <f>'Historical Dataset'!N85</f>
        <v>135.69999999999999</v>
      </c>
      <c r="L57" s="40">
        <f>IFERROR(IF(AND('Historical Dataset'!G85&gt;0,'Historical Dataset'!N85&gt;0),('Historical Dataset'!N85/'Historical Dataset'!G85)^(1/7)-1,""),"")</f>
        <v>-0.14039289718571213</v>
      </c>
    </row>
    <row r="58" spans="1:12">
      <c r="A58" s="38" t="s">
        <v>202</v>
      </c>
      <c r="B58" s="38" t="s">
        <v>28</v>
      </c>
      <c r="C58" s="40">
        <f>IFERROR('Historical Dataset'!G86/'Historical Dataset'!G$88,"")</f>
        <v>1.5682828906194161E-2</v>
      </c>
      <c r="D58" s="40">
        <f>IFERROR('Historical Dataset'!H86/'Historical Dataset'!H$88,"")</f>
        <v>2.2656735995553588E-2</v>
      </c>
      <c r="E58" s="40">
        <f>IFERROR('Historical Dataset'!I86/'Historical Dataset'!I$88,"")</f>
        <v>3.4164933217479772E-2</v>
      </c>
      <c r="F58" s="40">
        <f>IFERROR('Historical Dataset'!J86/'Historical Dataset'!J$88,"")</f>
        <v>7.8414247216755051E-2</v>
      </c>
      <c r="G58" s="40">
        <f>IFERROR('Historical Dataset'!K86/'Historical Dataset'!K$88,"")</f>
        <v>5.8639610789598728E-2</v>
      </c>
      <c r="H58" s="40">
        <f>IFERROR('Historical Dataset'!L86/'Historical Dataset'!L$88,"")</f>
        <v>0.10573363432143934</v>
      </c>
      <c r="I58" s="40">
        <f>IFERROR('Historical Dataset'!M86/'Historical Dataset'!M$88,"")</f>
        <v>0.13854032562978988</v>
      </c>
      <c r="J58" s="40">
        <f>IFERROR('Historical Dataset'!N86/'Historical Dataset'!N$88,"")</f>
        <v>0.12806708099390646</v>
      </c>
      <c r="K58" s="39">
        <f>'Historical Dataset'!N86</f>
        <v>930.60699999999997</v>
      </c>
      <c r="L58" s="40">
        <f>IFERROR(IF(AND('Historical Dataset'!G86&gt;0,'Historical Dataset'!N86&gt;0),('Historical Dataset'!N86/'Historical Dataset'!G86)^(1/7)-1,""),"")</f>
        <v>0.30556817517185819</v>
      </c>
    </row>
    <row r="59" spans="1:12">
      <c r="A59" s="38" t="s">
        <v>203</v>
      </c>
      <c r="B59" s="38" t="s">
        <v>28</v>
      </c>
      <c r="C59" s="40">
        <f>IFERROR('Historical Dataset'!G87/'Historical Dataset'!G$88,"")</f>
        <v>1.4013717245358869E-2</v>
      </c>
      <c r="D59" s="40">
        <f>IFERROR('Historical Dataset'!H87/'Historical Dataset'!H$88,"")</f>
        <v>1.1848646210931528E-2</v>
      </c>
      <c r="E59" s="40">
        <f>IFERROR('Historical Dataset'!I87/'Historical Dataset'!I$88,"")</f>
        <v>1.2883271402034277E-2</v>
      </c>
      <c r="F59" s="40">
        <f>IFERROR('Historical Dataset'!J87/'Historical Dataset'!J$88,"")</f>
        <v>1.3937371240682069E-2</v>
      </c>
      <c r="G59" s="40">
        <f>IFERROR('Historical Dataset'!K87/'Historical Dataset'!K$88,"")</f>
        <v>8.0495090119151545E-3</v>
      </c>
      <c r="H59" s="40">
        <f>IFERROR('Historical Dataset'!L87/'Historical Dataset'!L$88,"")</f>
        <v>1.3808322263228853E-2</v>
      </c>
      <c r="I59" s="40">
        <f>IFERROR('Historical Dataset'!M87/'Historical Dataset'!M$88,"")</f>
        <v>1.9955525337467125E-2</v>
      </c>
      <c r="J59" s="40">
        <f>IFERROR('Historical Dataset'!N87/'Historical Dataset'!N$88,"")</f>
        <v>1.6598915662832985E-2</v>
      </c>
      <c r="K59" s="39">
        <f>'Historical Dataset'!N87</f>
        <v>120.617</v>
      </c>
      <c r="L59" s="40">
        <f>IFERROR(IF(AND('Historical Dataset'!G87&gt;0,'Historical Dataset'!N87&gt;0),('Historical Dataset'!N87/'Historical Dataset'!G87)^(1/7)-1,""),"")</f>
        <v>-9.1321547885161447E-3</v>
      </c>
    </row>
    <row r="60" spans="1:12">
      <c r="A60" s="41" t="s">
        <v>195</v>
      </c>
      <c r="B60" s="41" t="s">
        <v>28</v>
      </c>
      <c r="C60" s="42">
        <f>IFERROR('Historical Dataset'!G88/'Historical Dataset'!G$88,"")</f>
        <v>1</v>
      </c>
      <c r="D60" s="42">
        <f>IFERROR('Historical Dataset'!H88/'Historical Dataset'!H$88,"")</f>
        <v>1</v>
      </c>
      <c r="E60" s="42">
        <f>IFERROR('Historical Dataset'!I88/'Historical Dataset'!I$88,"")</f>
        <v>1</v>
      </c>
      <c r="F60" s="42">
        <f>IFERROR('Historical Dataset'!J88/'Historical Dataset'!J$88,"")</f>
        <v>1</v>
      </c>
      <c r="G60" s="42">
        <f>IFERROR('Historical Dataset'!K88/'Historical Dataset'!K$88,"")</f>
        <v>1</v>
      </c>
      <c r="H60" s="42">
        <f>IFERROR('Historical Dataset'!L88/'Historical Dataset'!L$88,"")</f>
        <v>1</v>
      </c>
      <c r="I60" s="42">
        <f>IFERROR('Historical Dataset'!M88/'Historical Dataset'!M$88,"")</f>
        <v>1</v>
      </c>
      <c r="J60" s="42">
        <f>IFERROR('Historical Dataset'!N88/'Historical Dataset'!N$88,"")</f>
        <v>1</v>
      </c>
      <c r="K60" s="43">
        <f>'Historical Dataset'!N88</f>
        <v>7266.5590000000002</v>
      </c>
      <c r="L60" s="42">
        <f>IFERROR(IF(AND('Historical Dataset'!G88&gt;0,'Historical Dataset'!N88&gt;0),('Historical Dataset'!N88/'Historical Dataset'!G88)^(1/7)-1,""),"")</f>
        <v>-3.2809619512965127E-2</v>
      </c>
    </row>
    <row r="61" spans="1:1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>
      <c r="A62" s="203" t="s">
        <v>362</v>
      </c>
      <c r="B62" s="203"/>
      <c r="C62" s="203"/>
      <c r="D62" s="203"/>
      <c r="E62" s="36"/>
      <c r="F62" s="36"/>
      <c r="G62" s="36"/>
      <c r="H62" s="36"/>
      <c r="I62" s="36"/>
      <c r="J62" s="36"/>
      <c r="K62" s="36"/>
      <c r="L62" s="36"/>
    </row>
    <row r="63" spans="1:12" ht="25.5" customHeight="1">
      <c r="A63" s="37" t="s">
        <v>106</v>
      </c>
      <c r="B63" s="37" t="s">
        <v>28</v>
      </c>
      <c r="C63" s="37" t="s">
        <v>363</v>
      </c>
      <c r="D63" s="37" t="s">
        <v>322</v>
      </c>
      <c r="E63" s="36"/>
      <c r="F63" s="36"/>
      <c r="G63" s="36"/>
      <c r="H63" s="36"/>
      <c r="I63" s="36"/>
      <c r="J63" s="36"/>
      <c r="K63" s="36"/>
      <c r="L63" s="36"/>
    </row>
    <row r="64" spans="1:12" ht="25.5">
      <c r="A64" s="38" t="s">
        <v>205</v>
      </c>
      <c r="B64" s="39">
        <f>'Historical Dataset'!N114</f>
        <v>219284.568</v>
      </c>
      <c r="C64" s="40">
        <f>IFERROR(B64/'Historical Dataset'!N$114,"")</f>
        <v>1</v>
      </c>
      <c r="D64" s="38" t="s">
        <v>364</v>
      </c>
      <c r="E64" s="36"/>
      <c r="F64" s="36"/>
      <c r="G64" s="36"/>
      <c r="H64" s="36"/>
      <c r="I64" s="36"/>
      <c r="J64" s="36"/>
      <c r="K64" s="36"/>
      <c r="L64" s="36"/>
    </row>
    <row r="65" spans="1:12" ht="25.5">
      <c r="A65" s="38" t="s">
        <v>206</v>
      </c>
      <c r="B65" s="39">
        <f>'Historical Dataset'!N115</f>
        <v>-144663.60500000001</v>
      </c>
      <c r="C65" s="40">
        <f>IFERROR(B65/'Historical Dataset'!N$114,"")</f>
        <v>-0.6597071846843322</v>
      </c>
      <c r="D65" s="38" t="s">
        <v>365</v>
      </c>
      <c r="E65" s="36"/>
      <c r="F65" s="36"/>
      <c r="G65" s="36"/>
      <c r="H65" s="36"/>
      <c r="I65" s="36"/>
      <c r="J65" s="36"/>
      <c r="K65" s="36"/>
      <c r="L65" s="36"/>
    </row>
    <row r="66" spans="1:12" ht="25.5">
      <c r="A66" s="38" t="s">
        <v>207</v>
      </c>
      <c r="B66" s="39">
        <f>'Historical Dataset'!N116</f>
        <v>74620.962999999989</v>
      </c>
      <c r="C66" s="40">
        <f>IFERROR(B66/'Historical Dataset'!N$114,"")</f>
        <v>0.34029281531566774</v>
      </c>
      <c r="D66" s="38" t="s">
        <v>366</v>
      </c>
      <c r="E66" s="36"/>
      <c r="F66" s="36"/>
      <c r="G66" s="36"/>
      <c r="H66" s="36"/>
      <c r="I66" s="36"/>
      <c r="J66" s="36"/>
      <c r="K66" s="36"/>
      <c r="L66" s="36"/>
    </row>
    <row r="67" spans="1:12" ht="25.5">
      <c r="A67" s="38" t="s">
        <v>187</v>
      </c>
      <c r="B67" s="39">
        <f>'Historical Dataset'!N117</f>
        <v>-42421.436999999998</v>
      </c>
      <c r="C67" s="40">
        <f>IFERROR(B67/'Historical Dataset'!N$114,"")</f>
        <v>-0.1934538184191785</v>
      </c>
      <c r="D67" s="38" t="s">
        <v>365</v>
      </c>
      <c r="E67" s="36"/>
      <c r="F67" s="36"/>
      <c r="G67" s="36"/>
      <c r="H67" s="36"/>
      <c r="I67" s="36"/>
      <c r="J67" s="36"/>
      <c r="K67" s="36"/>
      <c r="L67" s="36"/>
    </row>
    <row r="68" spans="1:12" ht="25.5">
      <c r="A68" s="38" t="s">
        <v>210</v>
      </c>
      <c r="B68" s="39">
        <f>'Historical Dataset'!N118</f>
        <v>32199.525999999991</v>
      </c>
      <c r="C68" s="40">
        <f>IFERROR(B68/'Historical Dataset'!N$114,"")</f>
        <v>0.14683899689648927</v>
      </c>
      <c r="D68" s="38" t="s">
        <v>367</v>
      </c>
      <c r="E68" s="36"/>
      <c r="F68" s="36"/>
      <c r="G68" s="36"/>
      <c r="H68" s="36"/>
      <c r="I68" s="36"/>
      <c r="J68" s="36"/>
      <c r="K68" s="36"/>
      <c r="L68" s="36"/>
    </row>
    <row r="69" spans="1:12" ht="25.5">
      <c r="A69" s="38" t="s">
        <v>211</v>
      </c>
      <c r="B69" s="39">
        <f>'Historical Dataset'!N119</f>
        <v>7266.5590000000002</v>
      </c>
      <c r="C69" s="40">
        <f>IFERROR(B69/'Historical Dataset'!N$114,"")</f>
        <v>3.3137575827953382E-2</v>
      </c>
      <c r="D69" s="38" t="s">
        <v>368</v>
      </c>
      <c r="E69" s="36"/>
      <c r="F69" s="36"/>
      <c r="G69" s="36"/>
      <c r="H69" s="36"/>
      <c r="I69" s="36"/>
      <c r="J69" s="36"/>
      <c r="K69" s="36"/>
      <c r="L69" s="36"/>
    </row>
    <row r="70" spans="1:12" ht="25.5">
      <c r="A70" s="38" t="s">
        <v>327</v>
      </c>
      <c r="B70" s="39">
        <f>'Historical Dataset'!N120</f>
        <v>39466.084999999999</v>
      </c>
      <c r="C70" s="40">
        <f>IFERROR(B70/'Historical Dataset'!N$114,"")</f>
        <v>0.1799765727244427</v>
      </c>
      <c r="D70" s="38" t="s">
        <v>369</v>
      </c>
      <c r="E70" s="36"/>
      <c r="F70" s="36"/>
      <c r="G70" s="36"/>
      <c r="H70" s="36"/>
      <c r="I70" s="36"/>
      <c r="J70" s="36"/>
      <c r="K70" s="36"/>
      <c r="L70" s="36"/>
    </row>
    <row r="71" spans="1:12" ht="25.5">
      <c r="A71" s="38" t="s">
        <v>214</v>
      </c>
      <c r="B71" s="39">
        <f>'Historical Dataset'!N121</f>
        <v>625.21799999999996</v>
      </c>
      <c r="C71" s="40">
        <f>IFERROR(B71/'Historical Dataset'!N$114,"")</f>
        <v>2.8511719073637683E-3</v>
      </c>
      <c r="D71" s="38" t="s">
        <v>370</v>
      </c>
      <c r="E71" s="36"/>
      <c r="F71" s="36"/>
      <c r="G71" s="36"/>
      <c r="H71" s="36"/>
      <c r="I71" s="36"/>
      <c r="J71" s="36"/>
      <c r="K71" s="36"/>
      <c r="L71" s="36"/>
    </row>
    <row r="72" spans="1:12" ht="25.5">
      <c r="A72" s="38" t="s">
        <v>215</v>
      </c>
      <c r="B72" s="39">
        <f>'Historical Dataset'!N122</f>
        <v>-4716.6189999999997</v>
      </c>
      <c r="C72" s="40">
        <f>IFERROR(B72/'Historical Dataset'!N$114,"")</f>
        <v>-2.1509124162353274E-2</v>
      </c>
      <c r="D72" s="38" t="s">
        <v>370</v>
      </c>
      <c r="E72" s="36"/>
      <c r="F72" s="36"/>
      <c r="G72" s="36"/>
      <c r="H72" s="36"/>
      <c r="I72" s="36"/>
      <c r="J72" s="36"/>
      <c r="K72" s="36"/>
      <c r="L72" s="36"/>
    </row>
    <row r="73" spans="1:12">
      <c r="A73" s="38" t="s">
        <v>371</v>
      </c>
      <c r="B73" s="39">
        <f>'Historical Dataset'!N123</f>
        <v>35374.684000000001</v>
      </c>
      <c r="C73" s="40">
        <f>IFERROR(B73/'Historical Dataset'!N$114,"")</f>
        <v>0.16131862046945319</v>
      </c>
      <c r="D73" s="38" t="s">
        <v>372</v>
      </c>
      <c r="E73" s="36"/>
      <c r="F73" s="36"/>
      <c r="G73" s="36"/>
      <c r="H73" s="36"/>
      <c r="I73" s="36"/>
      <c r="J73" s="36"/>
      <c r="K73" s="36"/>
      <c r="L73" s="36"/>
    </row>
    <row r="74" spans="1:12">
      <c r="A74" s="38" t="s">
        <v>217</v>
      </c>
      <c r="B74" s="39">
        <f>'Historical Dataset'!N124</f>
        <v>-10908.159</v>
      </c>
      <c r="C74" s="40">
        <f>IFERROR(B74/'Historical Dataset'!N$114,"")</f>
        <v>-4.9744307588484749E-2</v>
      </c>
      <c r="D74" s="38" t="s">
        <v>373</v>
      </c>
      <c r="E74" s="36"/>
      <c r="F74" s="36"/>
      <c r="G74" s="36"/>
      <c r="H74" s="36"/>
      <c r="I74" s="36"/>
      <c r="J74" s="36"/>
      <c r="K74" s="36"/>
      <c r="L74" s="36"/>
    </row>
    <row r="75" spans="1:12">
      <c r="A75" s="38" t="s">
        <v>218</v>
      </c>
      <c r="B75" s="39">
        <f>'Historical Dataset'!N125</f>
        <v>24466.525000000001</v>
      </c>
      <c r="C75" s="40">
        <f>IFERROR(B75/'Historical Dataset'!N$114,"")</f>
        <v>0.11157431288096845</v>
      </c>
      <c r="D75" s="38" t="s">
        <v>374</v>
      </c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204" t="s">
        <v>375</v>
      </c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</row>
    <row r="78" spans="1:12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</row>
    <row r="79" spans="1:12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</row>
    <row r="82" spans="1:12" ht="15" customHeight="1">
      <c r="A82" s="203" t="s">
        <v>376</v>
      </c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</row>
    <row r="83" spans="1:12" ht="38.25">
      <c r="A83" s="37" t="s">
        <v>377</v>
      </c>
      <c r="B83" s="37"/>
      <c r="C83" s="37" t="s">
        <v>378</v>
      </c>
      <c r="D83" s="37" t="s">
        <v>379</v>
      </c>
      <c r="E83" s="37" t="s">
        <v>380</v>
      </c>
      <c r="F83" s="37" t="s">
        <v>381</v>
      </c>
      <c r="G83" s="37" t="s">
        <v>382</v>
      </c>
      <c r="H83" s="44"/>
      <c r="I83" s="44"/>
      <c r="J83" s="44"/>
      <c r="K83" s="44"/>
      <c r="L83" s="44"/>
    </row>
    <row r="84" spans="1:12" ht="15">
      <c r="A84" s="45" t="s">
        <v>383</v>
      </c>
      <c r="B84" s="46" t="s">
        <v>384</v>
      </c>
      <c r="C84" s="47">
        <v>63911</v>
      </c>
      <c r="D84" s="47">
        <v>101764</v>
      </c>
      <c r="E84" s="48">
        <v>6.9000000000000006E-2</v>
      </c>
      <c r="F84" s="48">
        <v>0.46400000000000002</v>
      </c>
      <c r="G84" s="48">
        <v>0.27300000000000002</v>
      </c>
      <c r="H84" s="44"/>
      <c r="I84" s="44"/>
      <c r="J84" s="44"/>
      <c r="K84" s="44"/>
      <c r="L84" s="44"/>
    </row>
    <row r="85" spans="1:12" ht="15">
      <c r="A85" s="49" t="s">
        <v>385</v>
      </c>
      <c r="B85" s="44"/>
      <c r="C85" s="50">
        <v>23860</v>
      </c>
      <c r="D85" s="50">
        <v>42238</v>
      </c>
      <c r="E85" s="51">
        <v>8.5000000000000006E-2</v>
      </c>
      <c r="F85" s="51">
        <v>0.193</v>
      </c>
      <c r="G85" s="51">
        <v>-7.0999999999999994E-2</v>
      </c>
      <c r="H85" s="44"/>
      <c r="I85" s="44"/>
      <c r="J85" s="44"/>
      <c r="K85" s="44"/>
      <c r="L85" s="44"/>
    </row>
    <row r="86" spans="1:12" ht="15">
      <c r="A86" s="45" t="s">
        <v>386</v>
      </c>
      <c r="B86" s="46" t="s">
        <v>384</v>
      </c>
      <c r="C86" s="47">
        <v>23048</v>
      </c>
      <c r="D86" s="47">
        <v>37974</v>
      </c>
      <c r="E86" s="48">
        <v>7.3999999999999996E-2</v>
      </c>
      <c r="F86" s="48">
        <v>0.17299999999999999</v>
      </c>
      <c r="G86" s="48">
        <v>0.27</v>
      </c>
      <c r="H86" s="44"/>
      <c r="I86" s="44"/>
      <c r="J86" s="44"/>
      <c r="K86" s="44"/>
      <c r="L86" s="44"/>
    </row>
    <row r="87" spans="1:12" ht="15">
      <c r="A87" s="49" t="s">
        <v>387</v>
      </c>
      <c r="B87" s="44"/>
      <c r="C87" s="50">
        <v>20560</v>
      </c>
      <c r="D87" s="50">
        <v>37308</v>
      </c>
      <c r="E87" s="51">
        <v>8.8999999999999996E-2</v>
      </c>
      <c r="F87" s="51">
        <v>0.17</v>
      </c>
      <c r="G87" s="51">
        <v>0.11799999999999999</v>
      </c>
      <c r="H87" s="44"/>
      <c r="I87" s="44"/>
      <c r="J87" s="44"/>
      <c r="K87" s="44"/>
      <c r="L87" s="44"/>
    </row>
    <row r="88" spans="1:12" ht="15">
      <c r="A88" s="52" t="s">
        <v>388</v>
      </c>
      <c r="B88" s="53" t="s">
        <v>384</v>
      </c>
      <c r="C88" s="54">
        <v>131379</v>
      </c>
      <c r="D88" s="54">
        <v>219285</v>
      </c>
      <c r="E88" s="55">
        <v>7.5999999999999998E-2</v>
      </c>
      <c r="F88" s="55">
        <v>1</v>
      </c>
      <c r="G88" s="55">
        <v>0.18</v>
      </c>
      <c r="H88" s="44"/>
      <c r="I88" s="44"/>
      <c r="J88" s="44"/>
      <c r="K88" s="44"/>
      <c r="L88" s="44"/>
    </row>
    <row r="89" spans="1:12" ht="15">
      <c r="H89" s="44"/>
      <c r="I89" s="44"/>
      <c r="J89" s="44"/>
      <c r="K89" s="44"/>
      <c r="L89" s="44"/>
    </row>
  </sheetData>
  <mergeCells count="12">
    <mergeCell ref="A1:L1"/>
    <mergeCell ref="A3:D3"/>
    <mergeCell ref="A13:L13"/>
    <mergeCell ref="A22:L22"/>
    <mergeCell ref="A82:D82"/>
    <mergeCell ref="E82:H82"/>
    <mergeCell ref="I82:L82"/>
    <mergeCell ref="A33:L33"/>
    <mergeCell ref="A42:L42"/>
    <mergeCell ref="A50:L50"/>
    <mergeCell ref="A62:D62"/>
    <mergeCell ref="A77:L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3"/>
  <sheetViews>
    <sheetView showGridLines="0" workbookViewId="0">
      <selection activeCell="G91" sqref="G91"/>
    </sheetView>
  </sheetViews>
  <sheetFormatPr defaultRowHeight="14.25" outlineLevelCol="1"/>
  <cols>
    <col min="1" max="1" width="5.5" customWidth="1"/>
    <col min="2" max="2" width="25.75" hidden="1" customWidth="1" outlineLevel="1"/>
    <col min="3" max="3" width="22" hidden="1" customWidth="1" outlineLevel="1"/>
    <col min="4" max="4" width="42" customWidth="1" collapsed="1"/>
    <col min="5" max="12" width="13" customWidth="1"/>
    <col min="13" max="14" width="13" style="102" customWidth="1"/>
    <col min="15" max="15" width="9" style="102"/>
  </cols>
  <sheetData>
    <row r="1" spans="1:30">
      <c r="B1" s="101" t="s">
        <v>389</v>
      </c>
      <c r="C1" s="94"/>
      <c r="D1" s="95"/>
      <c r="E1" s="96"/>
      <c r="F1" s="96"/>
      <c r="G1" s="96"/>
      <c r="H1" s="97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8"/>
      <c r="U1" s="98"/>
      <c r="V1" s="98"/>
      <c r="W1" s="98"/>
      <c r="X1" s="98"/>
      <c r="Y1" s="96"/>
      <c r="Z1" s="99"/>
      <c r="AA1" s="100"/>
      <c r="AB1" s="100"/>
      <c r="AC1" s="100"/>
      <c r="AD1" s="100"/>
    </row>
    <row r="2" spans="1:30">
      <c r="C2" s="1"/>
    </row>
    <row r="3" spans="1:30" ht="30.75">
      <c r="D3" s="10" t="s">
        <v>390</v>
      </c>
      <c r="E3" s="11" t="s">
        <v>391</v>
      </c>
      <c r="F3" s="10" t="s">
        <v>392</v>
      </c>
      <c r="G3" s="12" t="s">
        <v>393</v>
      </c>
    </row>
    <row r="4" spans="1:30" ht="15">
      <c r="D4" s="10" t="s">
        <v>394</v>
      </c>
      <c r="E4" s="13">
        <v>18.350000000000001</v>
      </c>
      <c r="F4" s="10" t="s">
        <v>395</v>
      </c>
      <c r="G4" s="14">
        <v>46210</v>
      </c>
    </row>
    <row r="5" spans="1:30" ht="15">
      <c r="D5" s="10" t="s">
        <v>396</v>
      </c>
      <c r="E5" s="15">
        <v>45838</v>
      </c>
      <c r="F5" s="10" t="s">
        <v>397</v>
      </c>
      <c r="G5" s="14">
        <v>46212</v>
      </c>
    </row>
    <row r="6" spans="1:30" ht="15">
      <c r="D6" t="s">
        <v>398</v>
      </c>
      <c r="E6" s="2">
        <v>35809.4</v>
      </c>
    </row>
    <row r="9" spans="1:30" ht="15">
      <c r="F9" s="3">
        <v>43100</v>
      </c>
      <c r="G9" s="3">
        <f>EOMONTH(F9,12)</f>
        <v>43465</v>
      </c>
      <c r="H9" s="3">
        <f t="shared" ref="H9:N9" si="0">EOMONTH(G9,12)</f>
        <v>43830</v>
      </c>
      <c r="I9" s="3">
        <f t="shared" si="0"/>
        <v>44196</v>
      </c>
      <c r="J9" s="3">
        <f t="shared" si="0"/>
        <v>44561</v>
      </c>
      <c r="K9" s="3">
        <f t="shared" si="0"/>
        <v>44926</v>
      </c>
      <c r="L9" s="3">
        <f t="shared" si="0"/>
        <v>45291</v>
      </c>
      <c r="M9" s="103">
        <f t="shared" si="0"/>
        <v>45657</v>
      </c>
      <c r="N9" s="103">
        <f t="shared" si="0"/>
        <v>46022</v>
      </c>
    </row>
    <row r="10" spans="1:30" ht="38.25" customHeight="1">
      <c r="B10" s="22" t="s">
        <v>399</v>
      </c>
      <c r="C10" s="22" t="s">
        <v>400</v>
      </c>
      <c r="D10" s="22" t="s">
        <v>106</v>
      </c>
      <c r="E10" s="22" t="s">
        <v>19</v>
      </c>
      <c r="F10" s="4" t="s">
        <v>107</v>
      </c>
      <c r="G10" s="4" t="s">
        <v>108</v>
      </c>
      <c r="H10" s="4" t="s">
        <v>109</v>
      </c>
      <c r="I10" s="4" t="s">
        <v>110</v>
      </c>
      <c r="J10" s="4" t="s">
        <v>111</v>
      </c>
      <c r="K10" s="4" t="s">
        <v>112</v>
      </c>
      <c r="L10" s="4" t="s">
        <v>113</v>
      </c>
      <c r="M10" s="104" t="s">
        <v>114</v>
      </c>
      <c r="N10" s="104" t="s">
        <v>115</v>
      </c>
    </row>
    <row r="11" spans="1:30" ht="23.25" customHeight="1">
      <c r="B11" s="23"/>
      <c r="C11" s="23" t="s">
        <v>401</v>
      </c>
      <c r="D11" s="23" t="s">
        <v>402</v>
      </c>
      <c r="E11" s="23" t="s">
        <v>31</v>
      </c>
      <c r="F11" s="24">
        <v>0.501</v>
      </c>
      <c r="G11" s="24">
        <v>0.501</v>
      </c>
      <c r="H11" s="24">
        <v>0.501</v>
      </c>
      <c r="I11" s="24">
        <v>0.501</v>
      </c>
      <c r="J11" s="24">
        <v>0.501</v>
      </c>
      <c r="K11" s="24">
        <v>0.501</v>
      </c>
      <c r="L11" s="24">
        <v>0.501</v>
      </c>
      <c r="M11" s="24">
        <v>0.501</v>
      </c>
      <c r="N11" s="24">
        <v>0.501</v>
      </c>
    </row>
    <row r="12" spans="1:30" ht="33" customHeight="1">
      <c r="B12" s="25" t="s">
        <v>403</v>
      </c>
      <c r="C12" s="25" t="s">
        <v>404</v>
      </c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</row>
    <row r="13" spans="1:30" ht="18" customHeight="1">
      <c r="B13" s="27" t="s">
        <v>405</v>
      </c>
      <c r="C13" s="27" t="s">
        <v>406</v>
      </c>
      <c r="D13" s="107" t="s">
        <v>161</v>
      </c>
      <c r="E13" s="27" t="s">
        <v>122</v>
      </c>
      <c r="F13" s="108">
        <v>10204</v>
      </c>
      <c r="G13" s="108">
        <v>10702</v>
      </c>
      <c r="H13" s="108">
        <v>11493</v>
      </c>
      <c r="I13" s="108">
        <v>11462</v>
      </c>
      <c r="J13" s="108">
        <v>12101</v>
      </c>
      <c r="K13" s="108">
        <v>12653</v>
      </c>
      <c r="L13" s="108">
        <v>13290</v>
      </c>
      <c r="M13" s="108">
        <v>13684</v>
      </c>
      <c r="N13" s="108">
        <v>14472</v>
      </c>
    </row>
    <row r="14" spans="1:30" ht="18" customHeight="1">
      <c r="B14" s="27"/>
      <c r="C14" s="27"/>
      <c r="D14" s="110" t="s">
        <v>407</v>
      </c>
      <c r="E14" s="27"/>
      <c r="F14" s="109"/>
      <c r="G14" s="113">
        <f>G13/F13-1</f>
        <v>4.8804390435123413E-2</v>
      </c>
      <c r="H14" s="113">
        <f t="shared" ref="H14:N14" si="1">H13/G13-1</f>
        <v>7.3911418426462427E-2</v>
      </c>
      <c r="I14" s="113">
        <f t="shared" si="1"/>
        <v>-2.697294005046591E-3</v>
      </c>
      <c r="J14" s="113">
        <f t="shared" si="1"/>
        <v>5.5749432908742014E-2</v>
      </c>
      <c r="K14" s="113">
        <f t="shared" si="1"/>
        <v>4.561606478803415E-2</v>
      </c>
      <c r="L14" s="113">
        <f t="shared" si="1"/>
        <v>5.0343791986090292E-2</v>
      </c>
      <c r="M14" s="113">
        <f t="shared" si="1"/>
        <v>2.9646350639578545E-2</v>
      </c>
      <c r="N14" s="113">
        <f t="shared" si="1"/>
        <v>5.7585501315404963E-2</v>
      </c>
    </row>
    <row r="15" spans="1:30" s="111" customFormat="1" ht="18" customHeight="1">
      <c r="B15" s="107" t="s">
        <v>405</v>
      </c>
      <c r="C15" s="107" t="s">
        <v>406</v>
      </c>
      <c r="D15" s="107" t="s">
        <v>408</v>
      </c>
      <c r="E15" s="107" t="s">
        <v>122</v>
      </c>
      <c r="F15" s="108">
        <v>8272</v>
      </c>
      <c r="G15" s="108">
        <v>8459</v>
      </c>
      <c r="H15" s="108">
        <v>8769</v>
      </c>
      <c r="I15" s="108">
        <v>8773</v>
      </c>
      <c r="J15" s="108">
        <v>9203</v>
      </c>
      <c r="K15" s="108">
        <v>9813</v>
      </c>
      <c r="L15" s="108">
        <v>10233</v>
      </c>
      <c r="M15" s="108">
        <v>10516</v>
      </c>
      <c r="N15" s="108">
        <v>11403</v>
      </c>
      <c r="O15" s="112"/>
    </row>
    <row r="16" spans="1:30" s="111" customFormat="1" ht="18" customHeight="1">
      <c r="A16"/>
      <c r="B16" s="27"/>
      <c r="C16" s="27"/>
      <c r="D16" s="110" t="s">
        <v>407</v>
      </c>
      <c r="E16" s="27"/>
      <c r="F16" s="109"/>
      <c r="G16" s="113">
        <f>G15/F15-1</f>
        <v>2.2606382978723305E-2</v>
      </c>
      <c r="H16" s="113">
        <f t="shared" ref="H16" si="2">H15/G15-1</f>
        <v>3.6647357843716755E-2</v>
      </c>
      <c r="I16" s="113">
        <f t="shared" ref="I16" si="3">I15/H15-1</f>
        <v>4.5615235488649652E-4</v>
      </c>
      <c r="J16" s="113">
        <f t="shared" ref="J16" si="4">J15/I15-1</f>
        <v>4.9014020289524618E-2</v>
      </c>
      <c r="K16" s="113">
        <f t="shared" ref="K16" si="5">K15/J15-1</f>
        <v>6.6282733891122492E-2</v>
      </c>
      <c r="L16" s="113">
        <f t="shared" ref="L16" si="6">L15/K15-1</f>
        <v>4.2800366860287431E-2</v>
      </c>
      <c r="M16" s="113">
        <f t="shared" ref="M16" si="7">M15/L15-1</f>
        <v>2.7655623961692521E-2</v>
      </c>
      <c r="N16" s="113">
        <f t="shared" ref="N16" si="8">N15/M15-1</f>
        <v>8.4347660707493333E-2</v>
      </c>
      <c r="O16" s="102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0" s="111" customFormat="1" ht="18" customHeight="1">
      <c r="B17" s="107"/>
      <c r="C17" s="107"/>
      <c r="D17" s="107"/>
      <c r="E17" s="107"/>
      <c r="F17" s="108"/>
      <c r="G17" s="108"/>
      <c r="H17" s="108"/>
      <c r="I17" s="108"/>
      <c r="J17" s="108"/>
      <c r="K17" s="108"/>
      <c r="L17" s="108"/>
      <c r="M17" s="108"/>
      <c r="N17" s="32"/>
      <c r="O17" s="112"/>
    </row>
    <row r="18" spans="1:30" s="111" customFormat="1" ht="18" customHeight="1">
      <c r="B18" s="107" t="s">
        <v>405</v>
      </c>
      <c r="C18" s="107" t="s">
        <v>409</v>
      </c>
      <c r="D18" s="107" t="s">
        <v>410</v>
      </c>
      <c r="E18" s="107" t="s">
        <v>122</v>
      </c>
      <c r="F18" s="108">
        <v>1932</v>
      </c>
      <c r="G18" s="108">
        <v>2244</v>
      </c>
      <c r="H18" s="108">
        <v>2724</v>
      </c>
      <c r="I18" s="108">
        <v>2689</v>
      </c>
      <c r="J18" s="108">
        <v>2898</v>
      </c>
      <c r="K18" s="108">
        <v>2839</v>
      </c>
      <c r="L18" s="108">
        <v>3057</v>
      </c>
      <c r="M18" s="108">
        <v>3169</v>
      </c>
      <c r="N18" s="108">
        <v>3069</v>
      </c>
      <c r="O18" s="112"/>
    </row>
    <row r="19" spans="1:30" ht="18" customHeight="1">
      <c r="B19" s="27"/>
      <c r="C19" s="27"/>
      <c r="D19" s="110" t="s">
        <v>407</v>
      </c>
      <c r="E19" s="27"/>
      <c r="F19" s="109"/>
      <c r="G19" s="113">
        <f>G18/F18-1</f>
        <v>0.16149068322981375</v>
      </c>
      <c r="H19" s="113">
        <f t="shared" ref="H19" si="9">H18/G18-1</f>
        <v>0.21390374331550799</v>
      </c>
      <c r="I19" s="113">
        <f t="shared" ref="I19" si="10">I18/H18-1</f>
        <v>-1.2848751835536021E-2</v>
      </c>
      <c r="J19" s="113">
        <f t="shared" ref="J19" si="11">J18/I18-1</f>
        <v>7.772406098921536E-2</v>
      </c>
      <c r="K19" s="113">
        <f t="shared" ref="K19" si="12">K18/J18-1</f>
        <v>-2.0358868184955137E-2</v>
      </c>
      <c r="L19" s="113">
        <f t="shared" ref="L19" si="13">L18/K18-1</f>
        <v>7.6787601268052175E-2</v>
      </c>
      <c r="M19" s="113">
        <f t="shared" ref="M19" si="14">M18/L18-1</f>
        <v>3.6637226038599868E-2</v>
      </c>
      <c r="N19" s="113">
        <f t="shared" ref="N19" si="15">N18/M18-1</f>
        <v>-3.1555695803092476E-2</v>
      </c>
    </row>
    <row r="20" spans="1:30" ht="18" customHeight="1">
      <c r="B20" s="27" t="s">
        <v>405</v>
      </c>
      <c r="C20" s="27" t="s">
        <v>409</v>
      </c>
      <c r="D20" s="110" t="s">
        <v>411</v>
      </c>
      <c r="E20" s="27" t="s">
        <v>31</v>
      </c>
      <c r="F20" s="113">
        <f>F15/F13</f>
        <v>0.81066248529988238</v>
      </c>
      <c r="G20" s="113">
        <f t="shared" ref="G20:N20" si="16">G15/G13</f>
        <v>0.79041300691459537</v>
      </c>
      <c r="H20" s="113">
        <f t="shared" si="16"/>
        <v>0.76298616549203868</v>
      </c>
      <c r="I20" s="113">
        <f t="shared" si="16"/>
        <v>0.76539870877682781</v>
      </c>
      <c r="J20" s="113">
        <f t="shared" si="16"/>
        <v>0.76051565986282121</v>
      </c>
      <c r="K20" s="113">
        <f t="shared" si="16"/>
        <v>0.77554730103532754</v>
      </c>
      <c r="L20" s="113">
        <f t="shared" si="16"/>
        <v>0.76997742663656887</v>
      </c>
      <c r="M20" s="113">
        <f t="shared" si="16"/>
        <v>0.76848874598070738</v>
      </c>
      <c r="N20" s="113">
        <f t="shared" si="16"/>
        <v>0.78793532338308458</v>
      </c>
    </row>
    <row r="21" spans="1:30" ht="18" customHeight="1">
      <c r="B21" s="27" t="s">
        <v>405</v>
      </c>
      <c r="C21" s="27" t="s">
        <v>409</v>
      </c>
      <c r="D21" s="110" t="s">
        <v>165</v>
      </c>
      <c r="E21" s="27" t="s">
        <v>31</v>
      </c>
      <c r="F21" s="113">
        <f>1-F20</f>
        <v>0.18933751470011762</v>
      </c>
      <c r="G21" s="113">
        <f t="shared" ref="G21:N21" si="17">1-G20</f>
        <v>0.20958699308540463</v>
      </c>
      <c r="H21" s="113">
        <f t="shared" si="17"/>
        <v>0.23701383450796132</v>
      </c>
      <c r="I21" s="113">
        <f t="shared" si="17"/>
        <v>0.23460129122317219</v>
      </c>
      <c r="J21" s="113">
        <f t="shared" si="17"/>
        <v>0.23948434013717879</v>
      </c>
      <c r="K21" s="113">
        <f t="shared" si="17"/>
        <v>0.22445269896467246</v>
      </c>
      <c r="L21" s="113">
        <f t="shared" si="17"/>
        <v>0.23002257336343113</v>
      </c>
      <c r="M21" s="113">
        <f t="shared" si="17"/>
        <v>0.23151125401929262</v>
      </c>
      <c r="N21" s="113">
        <f t="shared" si="17"/>
        <v>0.21206467661691542</v>
      </c>
    </row>
    <row r="22" spans="1:30" s="111" customFormat="1" ht="18" customHeight="1">
      <c r="B22" s="107" t="s">
        <v>405</v>
      </c>
      <c r="C22" s="107" t="s">
        <v>412</v>
      </c>
      <c r="D22" s="107" t="s">
        <v>413</v>
      </c>
      <c r="E22" s="107" t="s">
        <v>414</v>
      </c>
      <c r="F22" s="108">
        <v>1656</v>
      </c>
      <c r="G22" s="108">
        <v>1802</v>
      </c>
      <c r="H22" s="108">
        <v>1882</v>
      </c>
      <c r="I22" s="108">
        <v>1926</v>
      </c>
      <c r="J22" s="108">
        <v>1994</v>
      </c>
      <c r="K22" s="108">
        <v>2057</v>
      </c>
      <c r="L22" s="108">
        <v>2149</v>
      </c>
      <c r="M22" s="108">
        <v>2177</v>
      </c>
      <c r="N22" s="108">
        <v>2316</v>
      </c>
      <c r="O22" s="112"/>
    </row>
    <row r="23" spans="1:30" s="111" customFormat="1" ht="18" customHeight="1">
      <c r="A23"/>
      <c r="B23" s="27"/>
      <c r="C23" s="27"/>
      <c r="D23" s="110" t="s">
        <v>407</v>
      </c>
      <c r="E23" s="27"/>
      <c r="F23" s="109"/>
      <c r="G23" s="113">
        <f>G22/F22-1</f>
        <v>8.8164251207729416E-2</v>
      </c>
      <c r="H23" s="113">
        <f t="shared" ref="H23" si="18">H22/G22-1</f>
        <v>4.4395116537180979E-2</v>
      </c>
      <c r="I23" s="113">
        <f t="shared" ref="I23" si="19">I22/H22-1</f>
        <v>2.3379383634431372E-2</v>
      </c>
      <c r="J23" s="113">
        <f t="shared" ref="J23" si="20">J22/I22-1</f>
        <v>3.530633437175501E-2</v>
      </c>
      <c r="K23" s="113">
        <f t="shared" ref="K23" si="21">K22/J22-1</f>
        <v>3.1594784353059069E-2</v>
      </c>
      <c r="L23" s="113">
        <f t="shared" ref="L23" si="22">L22/K22-1</f>
        <v>4.4725328147787957E-2</v>
      </c>
      <c r="M23" s="113">
        <f t="shared" ref="M23" si="23">M22/L22-1</f>
        <v>1.3029315960912058E-2</v>
      </c>
      <c r="N23" s="113">
        <f t="shared" ref="N23" si="24">N22/M22-1</f>
        <v>6.384933394579706E-2</v>
      </c>
      <c r="O23" s="102"/>
      <c r="P23"/>
      <c r="Q23"/>
      <c r="R23" s="115"/>
      <c r="S23" s="115"/>
      <c r="T23" s="115"/>
      <c r="U23" s="115"/>
      <c r="V23" s="115"/>
      <c r="W23" s="115"/>
      <c r="X23"/>
      <c r="Y23"/>
      <c r="Z23"/>
      <c r="AA23"/>
      <c r="AB23"/>
      <c r="AC23"/>
      <c r="AD23"/>
    </row>
    <row r="24" spans="1:30" ht="18" customHeight="1">
      <c r="B24" s="27" t="s">
        <v>405</v>
      </c>
      <c r="C24" s="27" t="s">
        <v>412</v>
      </c>
      <c r="D24" s="110" t="s">
        <v>415</v>
      </c>
      <c r="E24" s="27" t="s">
        <v>31</v>
      </c>
      <c r="F24" s="113">
        <v>0.70299999999999996</v>
      </c>
      <c r="G24" s="113">
        <v>0.67800000000000005</v>
      </c>
      <c r="H24" s="113">
        <v>0.69699999999999995</v>
      </c>
      <c r="I24" s="113">
        <v>0.67900000000000005</v>
      </c>
      <c r="J24" s="113">
        <v>0.69299999999999995</v>
      </c>
      <c r="K24" s="113">
        <v>0.70199999999999996</v>
      </c>
      <c r="L24" s="113">
        <v>0.70599999999999996</v>
      </c>
      <c r="M24" s="113">
        <v>0.71799999999999997</v>
      </c>
      <c r="N24" s="113">
        <v>0.71299999999999997</v>
      </c>
    </row>
    <row r="25" spans="1:30" s="111" customFormat="1" ht="18" customHeight="1">
      <c r="B25" s="107" t="s">
        <v>405</v>
      </c>
      <c r="C25" s="107" t="s">
        <v>416</v>
      </c>
      <c r="D25" s="107" t="s">
        <v>417</v>
      </c>
      <c r="E25" s="107" t="s">
        <v>418</v>
      </c>
      <c r="F25" s="114">
        <v>1564.63</v>
      </c>
      <c r="G25" s="114">
        <v>1661.97</v>
      </c>
      <c r="H25" s="114">
        <v>1629.03</v>
      </c>
      <c r="I25" s="114">
        <v>1630.87</v>
      </c>
      <c r="J25" s="114">
        <v>1681.48</v>
      </c>
      <c r="K25" s="114">
        <v>1717.27</v>
      </c>
      <c r="L25" s="114">
        <v>1996.18</v>
      </c>
      <c r="M25" s="114">
        <v>2345.2399999999998</v>
      </c>
      <c r="N25" s="114">
        <v>2041.38</v>
      </c>
      <c r="O25" s="112"/>
    </row>
    <row r="26" spans="1:30" s="111" customFormat="1" ht="18" customHeight="1">
      <c r="A26"/>
      <c r="B26" s="27"/>
      <c r="C26" s="27"/>
      <c r="D26" s="110" t="s">
        <v>407</v>
      </c>
      <c r="E26" s="27"/>
      <c r="F26" s="109"/>
      <c r="G26" s="113">
        <f>G25/F25-1</f>
        <v>6.2212791522596289E-2</v>
      </c>
      <c r="H26" s="113">
        <f t="shared" ref="H26" si="25">H25/G25-1</f>
        <v>-1.9819852343905153E-2</v>
      </c>
      <c r="I26" s="113">
        <f t="shared" ref="I26" si="26">I25/H25-1</f>
        <v>1.129506516147627E-3</v>
      </c>
      <c r="J26" s="113">
        <f t="shared" ref="J26" si="27">J25/I25-1</f>
        <v>3.1032516386959141E-2</v>
      </c>
      <c r="K26" s="113">
        <f t="shared" ref="K26" si="28">K25/J25-1</f>
        <v>2.1284820515260261E-2</v>
      </c>
      <c r="L26" s="113">
        <f t="shared" ref="L26" si="29">L25/K25-1</f>
        <v>0.16241476296680202</v>
      </c>
      <c r="M26" s="113">
        <f t="shared" ref="M26" si="30">M25/L25-1</f>
        <v>0.17486399022132249</v>
      </c>
      <c r="N26" s="113">
        <f t="shared" ref="N26" si="31">N25/M25-1</f>
        <v>-0.12956456482065792</v>
      </c>
      <c r="O26" s="102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s="111" customFormat="1" ht="18" customHeight="1">
      <c r="B27" s="107" t="s">
        <v>405</v>
      </c>
      <c r="C27" s="107" t="s">
        <v>419</v>
      </c>
      <c r="D27" s="107" t="s">
        <v>420</v>
      </c>
      <c r="E27" s="107" t="s">
        <v>418</v>
      </c>
      <c r="F27" s="114">
        <v>1493.09</v>
      </c>
      <c r="G27" s="114">
        <v>1627.34</v>
      </c>
      <c r="H27" s="114">
        <v>1607.31</v>
      </c>
      <c r="I27" s="114">
        <v>1656.27</v>
      </c>
      <c r="J27" s="114">
        <v>1564.35</v>
      </c>
      <c r="K27" s="114">
        <v>1675.24</v>
      </c>
      <c r="L27" s="114">
        <v>1890.43</v>
      </c>
      <c r="M27" s="114">
        <v>1835.184</v>
      </c>
      <c r="N27" s="114">
        <v>1683.6469999999999</v>
      </c>
      <c r="O27" s="112"/>
    </row>
    <row r="28" spans="1:30" ht="18" customHeight="1">
      <c r="B28" s="27"/>
      <c r="C28" s="27"/>
      <c r="D28" s="110" t="s">
        <v>407</v>
      </c>
      <c r="E28" s="27"/>
      <c r="F28" s="109"/>
      <c r="G28" s="113">
        <f>G27/F27-1</f>
        <v>8.9914204769973693E-2</v>
      </c>
      <c r="H28" s="113">
        <f t="shared" ref="H28" si="32">H27/G27-1</f>
        <v>-1.2308429707375224E-2</v>
      </c>
      <c r="I28" s="113">
        <f t="shared" ref="I28" si="33">I27/H27-1</f>
        <v>3.0460832073464283E-2</v>
      </c>
      <c r="J28" s="113">
        <f t="shared" ref="J28" si="34">J27/I27-1</f>
        <v>-5.5498197757612E-2</v>
      </c>
      <c r="K28" s="113">
        <f t="shared" ref="K28" si="35">K27/J27-1</f>
        <v>7.0885671365103819E-2</v>
      </c>
      <c r="L28" s="113">
        <f t="shared" ref="L28" si="36">L27/K27-1</f>
        <v>0.12845323655118079</v>
      </c>
      <c r="M28" s="113">
        <f t="shared" ref="M28" si="37">M27/L27-1</f>
        <v>-2.9224038975259603E-2</v>
      </c>
      <c r="N28" s="113">
        <f t="shared" ref="N28" si="38">N27/M27-1</f>
        <v>-8.2573191570981419E-2</v>
      </c>
    </row>
    <row r="29" spans="1:30" ht="33" customHeight="1">
      <c r="B29" s="25" t="s">
        <v>421</v>
      </c>
      <c r="C29" s="25" t="s">
        <v>422</v>
      </c>
      <c r="D29" s="25"/>
      <c r="E29" s="25"/>
      <c r="F29" s="26"/>
      <c r="G29" s="26"/>
      <c r="H29" s="26"/>
      <c r="I29" s="26"/>
      <c r="J29" s="26"/>
      <c r="K29" s="26"/>
      <c r="L29" s="26"/>
      <c r="M29" s="26"/>
      <c r="N29" s="26"/>
    </row>
    <row r="30" spans="1:30" s="111" customFormat="1" ht="38.25" customHeight="1">
      <c r="B30" s="116" t="s">
        <v>421</v>
      </c>
      <c r="C30" s="116" t="s">
        <v>423</v>
      </c>
      <c r="D30" s="116" t="s">
        <v>424</v>
      </c>
      <c r="E30" s="116" t="s">
        <v>122</v>
      </c>
      <c r="F30" s="108">
        <v>7701</v>
      </c>
      <c r="G30" s="108">
        <v>7881</v>
      </c>
      <c r="H30" s="108">
        <v>8147</v>
      </c>
      <c r="I30" s="108">
        <v>8154</v>
      </c>
      <c r="J30" s="108">
        <v>8553</v>
      </c>
      <c r="K30" s="108">
        <v>9147</v>
      </c>
      <c r="L30" s="108">
        <v>9539</v>
      </c>
      <c r="M30" s="108">
        <v>9813</v>
      </c>
      <c r="N30" s="108">
        <v>10570</v>
      </c>
      <c r="O30" s="112"/>
    </row>
    <row r="31" spans="1:30" ht="38.25" customHeight="1">
      <c r="B31" s="27"/>
      <c r="C31" s="27"/>
      <c r="D31" s="110" t="s">
        <v>407</v>
      </c>
      <c r="E31" s="27"/>
      <c r="F31" s="109"/>
      <c r="G31" s="113">
        <f>G30/F30-1</f>
        <v>2.33735878457344E-2</v>
      </c>
      <c r="H31" s="113">
        <f t="shared" ref="H31" si="39">H30/G30-1</f>
        <v>3.3752061921076049E-2</v>
      </c>
      <c r="I31" s="113">
        <f t="shared" ref="I31" si="40">I30/H30-1</f>
        <v>8.5921197986982278E-4</v>
      </c>
      <c r="J31" s="113">
        <f t="shared" ref="J31" si="41">J30/I30-1</f>
        <v>4.8933038999264156E-2</v>
      </c>
      <c r="K31" s="113">
        <f t="shared" ref="K31" si="42">K30/J30-1</f>
        <v>6.9449316029463359E-2</v>
      </c>
      <c r="L31" s="113">
        <f t="shared" ref="L31" si="43">L30/K30-1</f>
        <v>4.2855581064829895E-2</v>
      </c>
      <c r="M31" s="113">
        <f t="shared" ref="M31" si="44">M30/L30-1</f>
        <v>2.8724184925044582E-2</v>
      </c>
      <c r="N31" s="113">
        <f t="shared" ref="N31" si="45">N30/M30-1</f>
        <v>7.7142565983898903E-2</v>
      </c>
    </row>
    <row r="32" spans="1:30" ht="38.25" customHeight="1">
      <c r="B32" s="27"/>
      <c r="C32" s="27"/>
      <c r="D32" s="110" t="s">
        <v>425</v>
      </c>
      <c r="E32" s="27"/>
      <c r="F32" s="109">
        <f>F30/F15</f>
        <v>0.93097195357833651</v>
      </c>
      <c r="G32" s="109">
        <f t="shared" ref="G32:N32" si="46">G30/G15</f>
        <v>0.93167041021397323</v>
      </c>
      <c r="H32" s="109">
        <f t="shared" si="46"/>
        <v>0.92906830881514424</v>
      </c>
      <c r="I32" s="109">
        <f t="shared" si="46"/>
        <v>0.92944260800182377</v>
      </c>
      <c r="J32" s="109">
        <f t="shared" si="46"/>
        <v>0.92937085732913183</v>
      </c>
      <c r="K32" s="109">
        <f t="shared" si="46"/>
        <v>0.93213084683583003</v>
      </c>
      <c r="L32" s="109">
        <f t="shared" si="46"/>
        <v>0.93218020130948887</v>
      </c>
      <c r="M32" s="109">
        <f t="shared" si="46"/>
        <v>0.93314948649676688</v>
      </c>
      <c r="N32" s="109">
        <f t="shared" si="46"/>
        <v>0.92694904849600979</v>
      </c>
    </row>
    <row r="33" spans="2:17" s="111" customFormat="1" ht="30.75" customHeight="1">
      <c r="B33" s="116" t="s">
        <v>421</v>
      </c>
      <c r="C33" s="116" t="s">
        <v>423</v>
      </c>
      <c r="D33" s="116" t="s">
        <v>426</v>
      </c>
      <c r="E33" s="116" t="s">
        <v>122</v>
      </c>
      <c r="F33" s="108">
        <v>549</v>
      </c>
      <c r="G33" s="108">
        <v>554</v>
      </c>
      <c r="H33" s="108">
        <v>595</v>
      </c>
      <c r="I33" s="108">
        <v>603</v>
      </c>
      <c r="J33" s="108">
        <v>632</v>
      </c>
      <c r="K33" s="108">
        <v>650</v>
      </c>
      <c r="L33" s="108">
        <v>667</v>
      </c>
      <c r="M33" s="108">
        <v>660</v>
      </c>
      <c r="N33" s="108">
        <v>760</v>
      </c>
      <c r="O33" s="112"/>
    </row>
    <row r="34" spans="2:17" ht="30.75" customHeight="1">
      <c r="B34" s="27"/>
      <c r="C34" s="27"/>
      <c r="D34" s="110" t="s">
        <v>407</v>
      </c>
      <c r="E34" s="27"/>
      <c r="F34" s="109"/>
      <c r="G34" s="113">
        <f>G33/F33-1</f>
        <v>9.1074681238616506E-3</v>
      </c>
      <c r="H34" s="113">
        <f t="shared" ref="H34" si="47">H33/G33-1</f>
        <v>7.400722021660644E-2</v>
      </c>
      <c r="I34" s="113">
        <f t="shared" ref="I34" si="48">I33/H33-1</f>
        <v>1.3445378151260456E-2</v>
      </c>
      <c r="J34" s="113">
        <f t="shared" ref="J34" si="49">J33/I33-1</f>
        <v>4.8092868988391269E-2</v>
      </c>
      <c r="K34" s="113">
        <f t="shared" ref="K34" si="50">K33/J33-1</f>
        <v>2.8481012658227778E-2</v>
      </c>
      <c r="L34" s="113">
        <f t="shared" ref="L34" si="51">L33/K33-1</f>
        <v>2.6153846153846194E-2</v>
      </c>
      <c r="M34" s="113">
        <f t="shared" ref="M34" si="52">M33/L33-1</f>
        <v>-1.0494752623688153E-2</v>
      </c>
      <c r="N34" s="113">
        <f t="shared" ref="N34" si="53">N33/M33-1</f>
        <v>0.1515151515151516</v>
      </c>
    </row>
    <row r="35" spans="2:17" ht="30.75" customHeight="1">
      <c r="B35" s="27"/>
      <c r="C35" s="27"/>
      <c r="D35" s="110" t="s">
        <v>425</v>
      </c>
      <c r="E35" s="27"/>
      <c r="F35" s="109">
        <f>F33/$F$15</f>
        <v>6.636847195357834E-2</v>
      </c>
      <c r="G35" s="109">
        <f>G33/$G$15</f>
        <v>6.549237498522284E-2</v>
      </c>
      <c r="H35" s="109">
        <f>H33/$H$15</f>
        <v>6.7852662789371646E-2</v>
      </c>
      <c r="I35" s="109">
        <f>I33/$I$15</f>
        <v>6.873361449903112E-2</v>
      </c>
      <c r="J35" s="109">
        <f>J33/$J$15</f>
        <v>6.8673258719982616E-2</v>
      </c>
      <c r="K35" s="109">
        <f>K33/$K$15</f>
        <v>6.6238662998063788E-2</v>
      </c>
      <c r="L35" s="109">
        <f>L33/$L$15</f>
        <v>6.5181276263070465E-2</v>
      </c>
      <c r="M35" s="109">
        <f>M33/$M$15</f>
        <v>6.2761506276150625E-2</v>
      </c>
      <c r="N35" s="109">
        <f>N33/$N$15</f>
        <v>6.664912742260809E-2</v>
      </c>
    </row>
    <row r="36" spans="2:17" s="111" customFormat="1" ht="24.75" customHeight="1">
      <c r="B36" s="116" t="s">
        <v>421</v>
      </c>
      <c r="C36" s="116" t="s">
        <v>423</v>
      </c>
      <c r="D36" s="116" t="s">
        <v>427</v>
      </c>
      <c r="E36" s="116" t="s">
        <v>122</v>
      </c>
      <c r="F36" s="108">
        <v>22</v>
      </c>
      <c r="G36" s="108">
        <v>23</v>
      </c>
      <c r="H36" s="108">
        <v>27</v>
      </c>
      <c r="I36" s="108">
        <v>18</v>
      </c>
      <c r="J36" s="108">
        <v>17</v>
      </c>
      <c r="K36" s="108">
        <v>16</v>
      </c>
      <c r="L36" s="108">
        <v>27</v>
      </c>
      <c r="M36" s="108">
        <v>43</v>
      </c>
      <c r="N36" s="108">
        <v>73</v>
      </c>
      <c r="O36" s="112"/>
    </row>
    <row r="37" spans="2:17" ht="24.75" customHeight="1">
      <c r="B37" s="27"/>
      <c r="C37" s="27"/>
      <c r="D37" s="110" t="s">
        <v>407</v>
      </c>
      <c r="E37" s="27"/>
      <c r="F37" s="109"/>
      <c r="G37" s="113">
        <f>G36/F36-1</f>
        <v>4.5454545454545414E-2</v>
      </c>
      <c r="H37" s="113">
        <f t="shared" ref="H37" si="54">H36/G36-1</f>
        <v>0.17391304347826098</v>
      </c>
      <c r="I37" s="113">
        <f t="shared" ref="I37" si="55">I36/H36-1</f>
        <v>-0.33333333333333337</v>
      </c>
      <c r="J37" s="113">
        <f t="shared" ref="J37" si="56">J36/I36-1</f>
        <v>-5.555555555555558E-2</v>
      </c>
      <c r="K37" s="113">
        <f t="shared" ref="K37" si="57">K36/J36-1</f>
        <v>-5.8823529411764719E-2</v>
      </c>
      <c r="L37" s="113">
        <f t="shared" ref="L37" si="58">L36/K36-1</f>
        <v>0.6875</v>
      </c>
      <c r="M37" s="113">
        <f t="shared" ref="M37" si="59">M36/L36-1</f>
        <v>0.59259259259259256</v>
      </c>
      <c r="N37" s="113">
        <f t="shared" ref="N37" si="60">N36/M36-1</f>
        <v>0.69767441860465107</v>
      </c>
    </row>
    <row r="38" spans="2:17" ht="24.75" customHeight="1">
      <c r="B38" s="27"/>
      <c r="C38" s="27"/>
      <c r="D38" s="110" t="s">
        <v>425</v>
      </c>
      <c r="E38" s="27"/>
      <c r="F38" s="109">
        <f>F36/$F$15</f>
        <v>2.6595744680851063E-3</v>
      </c>
      <c r="G38" s="109">
        <f>G36/$G$15</f>
        <v>2.7189975174370493E-3</v>
      </c>
      <c r="H38" s="109">
        <f>H36/$H$15</f>
        <v>3.0790283954840918E-3</v>
      </c>
      <c r="I38" s="109">
        <f>I36/$I$15</f>
        <v>2.0517496865382423E-3</v>
      </c>
      <c r="J38" s="109">
        <f>J36/$J$15</f>
        <v>1.8472237313919375E-3</v>
      </c>
      <c r="K38" s="109">
        <f>K36/$K$15</f>
        <v>1.6304901661061857E-3</v>
      </c>
      <c r="L38" s="109">
        <f>L36/$L$15</f>
        <v>2.6385224274406332E-3</v>
      </c>
      <c r="M38" s="109">
        <f>M36/$M$15</f>
        <v>4.0890072270825407E-3</v>
      </c>
      <c r="N38" s="109">
        <f>N36/$N$15</f>
        <v>6.4018240813820924E-3</v>
      </c>
    </row>
    <row r="39" spans="2:17" s="111" customFormat="1" ht="25.5" customHeight="1">
      <c r="B39" s="116" t="s">
        <v>421</v>
      </c>
      <c r="C39" s="116" t="s">
        <v>428</v>
      </c>
      <c r="D39" s="116" t="s">
        <v>429</v>
      </c>
      <c r="E39" s="116" t="s">
        <v>122</v>
      </c>
      <c r="F39" s="108">
        <v>2138</v>
      </c>
      <c r="G39" s="108">
        <v>2335</v>
      </c>
      <c r="H39" s="108">
        <v>2366</v>
      </c>
      <c r="I39" s="108">
        <v>2508</v>
      </c>
      <c r="J39" s="108">
        <v>2630</v>
      </c>
      <c r="K39" s="108">
        <v>2728</v>
      </c>
      <c r="L39" s="108">
        <v>2798</v>
      </c>
      <c r="M39" s="108">
        <v>2769</v>
      </c>
      <c r="N39" s="108">
        <v>3104</v>
      </c>
      <c r="O39" s="112"/>
    </row>
    <row r="40" spans="2:17" ht="25.5" customHeight="1">
      <c r="B40" s="27"/>
      <c r="C40" s="27"/>
      <c r="D40" s="110" t="s">
        <v>407</v>
      </c>
      <c r="E40" s="27"/>
      <c r="F40" s="109"/>
      <c r="G40" s="113">
        <f>G39/F39-1</f>
        <v>9.2142188961646498E-2</v>
      </c>
      <c r="H40" s="113">
        <f t="shared" ref="H40" si="61">H39/G39-1</f>
        <v>1.3276231263383398E-2</v>
      </c>
      <c r="I40" s="113">
        <f t="shared" ref="I40" si="62">I39/H39-1</f>
        <v>6.0016906170752282E-2</v>
      </c>
      <c r="J40" s="113">
        <f t="shared" ref="J40" si="63">J39/I39-1</f>
        <v>4.8644338118022379E-2</v>
      </c>
      <c r="K40" s="113">
        <f t="shared" ref="K40" si="64">K39/J39-1</f>
        <v>3.726235741444861E-2</v>
      </c>
      <c r="L40" s="113">
        <f t="shared" ref="L40" si="65">L39/K39-1</f>
        <v>2.5659824046920798E-2</v>
      </c>
      <c r="M40" s="113">
        <f t="shared" ref="M40" si="66">M39/L39-1</f>
        <v>-1.0364546104360217E-2</v>
      </c>
      <c r="N40" s="113">
        <f t="shared" ref="N40" si="67">N39/M39-1</f>
        <v>0.12098230408089572</v>
      </c>
    </row>
    <row r="41" spans="2:17" ht="25.5" customHeight="1">
      <c r="B41" s="27"/>
      <c r="C41" s="27"/>
      <c r="D41" s="110" t="s">
        <v>425</v>
      </c>
      <c r="E41" s="27"/>
      <c r="F41" s="109">
        <f>F39/$F$15</f>
        <v>0.25846228239845259</v>
      </c>
      <c r="G41" s="109">
        <f>G39/$G$15</f>
        <v>0.27603735666154394</v>
      </c>
      <c r="H41" s="109">
        <f>H39/$H$15</f>
        <v>0.26981411791538373</v>
      </c>
      <c r="I41" s="109">
        <f>I39/$I$15</f>
        <v>0.2858771229909951</v>
      </c>
      <c r="J41" s="109">
        <f>J39/$J$15</f>
        <v>0.28577637726828209</v>
      </c>
      <c r="K41" s="109">
        <f>K39/$K$15</f>
        <v>0.27799857332110467</v>
      </c>
      <c r="L41" s="109">
        <f>L39/$L$15</f>
        <v>0.27342910192514414</v>
      </c>
      <c r="M41" s="109">
        <f>M39/$M$15</f>
        <v>0.26331304678585016</v>
      </c>
      <c r="N41" s="109">
        <f>N39/$N$15</f>
        <v>0.27220906778917831</v>
      </c>
    </row>
    <row r="42" spans="2:17" s="111" customFormat="1" ht="27" customHeight="1">
      <c r="B42" s="116" t="s">
        <v>421</v>
      </c>
      <c r="C42" s="116" t="s">
        <v>428</v>
      </c>
      <c r="D42" s="116" t="s">
        <v>430</v>
      </c>
      <c r="E42" s="116" t="s">
        <v>122</v>
      </c>
      <c r="F42" s="108">
        <v>1201</v>
      </c>
      <c r="G42" s="108">
        <v>1222</v>
      </c>
      <c r="H42" s="108">
        <v>1250</v>
      </c>
      <c r="I42" s="108">
        <v>1262</v>
      </c>
      <c r="J42" s="108">
        <v>1326</v>
      </c>
      <c r="K42" s="108">
        <v>1474</v>
      </c>
      <c r="L42" s="108">
        <v>1504</v>
      </c>
      <c r="M42" s="108">
        <v>1526</v>
      </c>
      <c r="N42" s="108">
        <v>1710</v>
      </c>
      <c r="O42" s="112"/>
      <c r="Q42" s="117"/>
    </row>
    <row r="43" spans="2:17" ht="27" customHeight="1">
      <c r="B43" s="27"/>
      <c r="C43" s="27"/>
      <c r="D43" s="110" t="s">
        <v>407</v>
      </c>
      <c r="E43" s="27"/>
      <c r="F43" s="109"/>
      <c r="G43" s="113">
        <f>G42/F42-1</f>
        <v>1.7485428809325576E-2</v>
      </c>
      <c r="H43" s="113">
        <f t="shared" ref="H43" si="68">H42/G42-1</f>
        <v>2.2913256955810146E-2</v>
      </c>
      <c r="I43" s="113">
        <f t="shared" ref="I43" si="69">I42/H42-1</f>
        <v>9.6000000000000529E-3</v>
      </c>
      <c r="J43" s="113">
        <f t="shared" ref="J43" si="70">J42/I42-1</f>
        <v>5.0713153724247118E-2</v>
      </c>
      <c r="K43" s="113">
        <f t="shared" ref="K43" si="71">K42/J42-1</f>
        <v>0.11161387631975872</v>
      </c>
      <c r="L43" s="113">
        <f t="shared" ref="L43" si="72">L42/K42-1</f>
        <v>2.0352781546811416E-2</v>
      </c>
      <c r="M43" s="113">
        <f t="shared" ref="M43" si="73">M42/L42-1</f>
        <v>1.4627659574468099E-2</v>
      </c>
      <c r="N43" s="113">
        <f t="shared" ref="N43" si="74">N42/M42-1</f>
        <v>0.12057667103538661</v>
      </c>
    </row>
    <row r="44" spans="2:17" ht="27" customHeight="1">
      <c r="B44" s="27"/>
      <c r="C44" s="27"/>
      <c r="D44" s="110" t="s">
        <v>425</v>
      </c>
      <c r="E44" s="27"/>
      <c r="F44" s="109">
        <f>F42/$F$15</f>
        <v>0.14518858800773696</v>
      </c>
      <c r="G44" s="109">
        <f>G42/$G$15</f>
        <v>0.14446152027426409</v>
      </c>
      <c r="H44" s="109">
        <f>H42/$H$15</f>
        <v>0.14254761090204129</v>
      </c>
      <c r="I44" s="109">
        <f>I42/$I$15</f>
        <v>0.14385045024507009</v>
      </c>
      <c r="J44" s="109">
        <f>J42/$J$15</f>
        <v>0.14408345104857112</v>
      </c>
      <c r="K44" s="109">
        <f>K42/$K$15</f>
        <v>0.15020890655253236</v>
      </c>
      <c r="L44" s="109">
        <f>L42/$L$15</f>
        <v>0.14697547151373008</v>
      </c>
      <c r="M44" s="109">
        <f>M42/$M$15</f>
        <v>0.14511220996576646</v>
      </c>
      <c r="N44" s="109">
        <f>N42/$N$15</f>
        <v>0.1499605367008682</v>
      </c>
    </row>
    <row r="45" spans="2:17" s="111" customFormat="1" ht="26.25" customHeight="1">
      <c r="B45" s="116" t="s">
        <v>421</v>
      </c>
      <c r="C45" s="116" t="s">
        <v>428</v>
      </c>
      <c r="D45" s="116" t="s">
        <v>431</v>
      </c>
      <c r="E45" s="116" t="s">
        <v>122</v>
      </c>
      <c r="F45" s="108">
        <v>4266</v>
      </c>
      <c r="G45" s="108">
        <v>4225</v>
      </c>
      <c r="H45" s="108">
        <v>4462</v>
      </c>
      <c r="I45" s="108">
        <v>4308</v>
      </c>
      <c r="J45" s="108">
        <v>4514</v>
      </c>
      <c r="K45" s="108">
        <v>4851</v>
      </c>
      <c r="L45" s="108">
        <v>5137</v>
      </c>
      <c r="M45" s="108">
        <v>5415</v>
      </c>
      <c r="N45" s="108">
        <v>5603</v>
      </c>
      <c r="O45" s="112"/>
    </row>
    <row r="46" spans="2:17" ht="26.25" customHeight="1">
      <c r="B46" s="27"/>
      <c r="C46" s="27"/>
      <c r="D46" s="110" t="s">
        <v>407</v>
      </c>
      <c r="E46" s="27"/>
      <c r="F46" s="109"/>
      <c r="G46" s="113">
        <f>G45/F45-1</f>
        <v>-9.6108766994843497E-3</v>
      </c>
      <c r="H46" s="113">
        <f t="shared" ref="H46" si="75">H45/G45-1</f>
        <v>5.6094674556212976E-2</v>
      </c>
      <c r="I46" s="113">
        <f t="shared" ref="I46" si="76">I45/H45-1</f>
        <v>-3.4513670999551715E-2</v>
      </c>
      <c r="J46" s="113">
        <f t="shared" ref="J46" si="77">J45/I45-1</f>
        <v>4.7818012999071513E-2</v>
      </c>
      <c r="K46" s="113">
        <f t="shared" ref="K46" si="78">K45/J45-1</f>
        <v>7.4656623836951708E-2</v>
      </c>
      <c r="L46" s="113">
        <f t="shared" ref="L46" si="79">L45/K45-1</f>
        <v>5.895691609977316E-2</v>
      </c>
      <c r="M46" s="113">
        <f t="shared" ref="M46" si="80">M45/L45-1</f>
        <v>5.4117189020829182E-2</v>
      </c>
      <c r="N46" s="113">
        <f t="shared" ref="N46" si="81">N45/M45-1</f>
        <v>3.471837488457985E-2</v>
      </c>
    </row>
    <row r="47" spans="2:17" ht="26.25" customHeight="1">
      <c r="B47" s="27"/>
      <c r="C47" s="27"/>
      <c r="D47" s="110" t="s">
        <v>425</v>
      </c>
      <c r="E47" s="27"/>
      <c r="F47" s="109">
        <f>F45/$F$15</f>
        <v>0.51571566731141194</v>
      </c>
      <c r="G47" s="109">
        <f>G45/$G$15</f>
        <v>0.49946802222484926</v>
      </c>
      <c r="H47" s="109">
        <f>H45/$H$15</f>
        <v>0.50883795187592651</v>
      </c>
      <c r="I47" s="109">
        <f>I45/$I$15</f>
        <v>0.49105209164481933</v>
      </c>
      <c r="J47" s="109">
        <f>J45/$J$15</f>
        <v>0.49049223079430621</v>
      </c>
      <c r="K47" s="109">
        <f>K45/$K$15</f>
        <v>0.49434423723631915</v>
      </c>
      <c r="L47" s="109">
        <f>L45/$L$15</f>
        <v>0.50200332258379754</v>
      </c>
      <c r="M47" s="109">
        <f>M45/$M$15</f>
        <v>0.5149296310384176</v>
      </c>
      <c r="N47" s="109">
        <f>N45/$N$15</f>
        <v>0.49136192230114883</v>
      </c>
    </row>
    <row r="48" spans="2:17" s="111" customFormat="1" ht="22.5" customHeight="1">
      <c r="B48" s="116" t="s">
        <v>421</v>
      </c>
      <c r="C48" s="116" t="s">
        <v>428</v>
      </c>
      <c r="D48" s="116" t="s">
        <v>432</v>
      </c>
      <c r="E48" s="116" t="s">
        <v>122</v>
      </c>
      <c r="F48" s="108">
        <v>55</v>
      </c>
      <c r="G48" s="108">
        <v>66</v>
      </c>
      <c r="H48" s="108">
        <v>68</v>
      </c>
      <c r="I48" s="108">
        <v>76</v>
      </c>
      <c r="J48" s="108">
        <v>84</v>
      </c>
      <c r="K48" s="108">
        <v>95</v>
      </c>
      <c r="L48" s="108">
        <v>99</v>
      </c>
      <c r="M48" s="108">
        <v>102</v>
      </c>
      <c r="N48" s="108">
        <v>148</v>
      </c>
      <c r="O48" s="112"/>
    </row>
    <row r="49" spans="1:31" ht="22.5" customHeight="1">
      <c r="B49" s="27"/>
      <c r="C49" s="27"/>
      <c r="D49" s="110" t="s">
        <v>407</v>
      </c>
      <c r="E49" s="27"/>
      <c r="F49" s="109"/>
      <c r="G49" s="113">
        <f>G48/F48-1</f>
        <v>0.19999999999999996</v>
      </c>
      <c r="H49" s="113">
        <f t="shared" ref="H49" si="82">H48/G48-1</f>
        <v>3.0303030303030276E-2</v>
      </c>
      <c r="I49" s="113">
        <f t="shared" ref="I49" si="83">I48/H48-1</f>
        <v>0.11764705882352944</v>
      </c>
      <c r="J49" s="113">
        <f t="shared" ref="J49" si="84">J48/I48-1</f>
        <v>0.10526315789473695</v>
      </c>
      <c r="K49" s="113">
        <f t="shared" ref="K49" si="85">K48/J48-1</f>
        <v>0.13095238095238093</v>
      </c>
      <c r="L49" s="113">
        <f t="shared" ref="L49" si="86">L48/K48-1</f>
        <v>4.2105263157894646E-2</v>
      </c>
      <c r="M49" s="113">
        <f t="shared" ref="M49" si="87">M48/L48-1</f>
        <v>3.0303030303030276E-2</v>
      </c>
      <c r="N49" s="113">
        <f t="shared" ref="N49" si="88">N48/M48-1</f>
        <v>0.4509803921568627</v>
      </c>
    </row>
    <row r="50" spans="1:31" ht="22.5" customHeight="1">
      <c r="B50" s="27"/>
      <c r="C50" s="27"/>
      <c r="D50" s="110" t="s">
        <v>425</v>
      </c>
      <c r="E50" s="27"/>
      <c r="F50" s="109">
        <f>F48/$F$15</f>
        <v>6.648936170212766E-3</v>
      </c>
      <c r="G50" s="109">
        <f>G48/$G$15</f>
        <v>7.8023407022106634E-3</v>
      </c>
      <c r="H50" s="109">
        <f>H48/$H$15</f>
        <v>7.7545900330710455E-3</v>
      </c>
      <c r="I50" s="109">
        <f>I48/$I$15</f>
        <v>8.6629431209392458E-3</v>
      </c>
      <c r="J50" s="109">
        <f>J48/$J$15</f>
        <v>9.127458437466044E-3</v>
      </c>
      <c r="K50" s="109">
        <f>K48/$K$15</f>
        <v>9.681035361255478E-3</v>
      </c>
      <c r="L50" s="109">
        <f>L48/$L$15</f>
        <v>9.6745822339489879E-3</v>
      </c>
      <c r="M50" s="109">
        <f>M48/$M$15</f>
        <v>9.6995055154050977E-3</v>
      </c>
      <c r="N50" s="109">
        <f>N48/$N$15</f>
        <v>1.2979040603349996E-2</v>
      </c>
    </row>
    <row r="51" spans="1:31" s="111" customFormat="1" ht="23.25" customHeight="1">
      <c r="B51" s="116" t="s">
        <v>421</v>
      </c>
      <c r="C51" s="116" t="s">
        <v>428</v>
      </c>
      <c r="D51" s="116" t="s">
        <v>433</v>
      </c>
      <c r="E51" s="116" t="s">
        <v>122</v>
      </c>
      <c r="F51" s="108"/>
      <c r="G51" s="108"/>
      <c r="H51" s="108"/>
      <c r="I51" s="108"/>
      <c r="J51" s="108"/>
      <c r="K51" s="108"/>
      <c r="L51" s="108"/>
      <c r="M51" s="108">
        <v>1.24</v>
      </c>
      <c r="N51" s="108">
        <v>4.88</v>
      </c>
      <c r="O51" s="112"/>
    </row>
    <row r="52" spans="1:31" ht="23.25" customHeight="1">
      <c r="B52" s="27"/>
      <c r="C52" s="27"/>
      <c r="D52" s="110" t="s">
        <v>407</v>
      </c>
      <c r="E52" s="27"/>
      <c r="F52" s="109"/>
      <c r="G52" s="113"/>
      <c r="H52" s="113"/>
      <c r="I52" s="113"/>
      <c r="J52" s="113"/>
      <c r="K52" s="113"/>
      <c r="L52" s="113"/>
      <c r="M52" s="113"/>
      <c r="N52" s="113">
        <f t="shared" ref="N52" si="89">N51/M51-1</f>
        <v>2.935483870967742</v>
      </c>
    </row>
    <row r="53" spans="1:31" ht="23.25" customHeight="1">
      <c r="B53" s="27"/>
      <c r="C53" s="27"/>
      <c r="D53" s="110" t="s">
        <v>425</v>
      </c>
      <c r="E53" s="27"/>
      <c r="F53" s="109">
        <f>F51/$F$15</f>
        <v>0</v>
      </c>
      <c r="G53" s="109">
        <f>G51/$G$15</f>
        <v>0</v>
      </c>
      <c r="H53" s="109">
        <f>H51/$H$15</f>
        <v>0</v>
      </c>
      <c r="I53" s="109">
        <f>I51/$I$15</f>
        <v>0</v>
      </c>
      <c r="J53" s="109">
        <f>J51/$J$15</f>
        <v>0</v>
      </c>
      <c r="K53" s="109">
        <f>K51/$K$15</f>
        <v>0</v>
      </c>
      <c r="L53" s="109">
        <f>L51/$L$15</f>
        <v>0</v>
      </c>
      <c r="M53" s="109">
        <f>M51/$M$15</f>
        <v>1.1791555724610118E-4</v>
      </c>
      <c r="N53" s="109">
        <f>N51/$N$15</f>
        <v>4.2795755502937822E-4</v>
      </c>
    </row>
    <row r="54" spans="1:31" s="111" customFormat="1" ht="24.75" customHeight="1">
      <c r="B54" s="116" t="s">
        <v>421</v>
      </c>
      <c r="C54" s="116" t="s">
        <v>434</v>
      </c>
      <c r="D54" s="116" t="s">
        <v>435</v>
      </c>
      <c r="E54" s="116" t="s">
        <v>436</v>
      </c>
      <c r="F54" s="108">
        <v>4912772</v>
      </c>
      <c r="G54" s="108">
        <v>5428881</v>
      </c>
      <c r="H54" s="108">
        <v>5658605</v>
      </c>
      <c r="I54" s="108">
        <v>6073202</v>
      </c>
      <c r="J54" s="108">
        <v>6365757</v>
      </c>
      <c r="K54" s="108">
        <v>6818706</v>
      </c>
      <c r="L54" s="108">
        <v>6998044</v>
      </c>
      <c r="M54" s="108">
        <v>7310665</v>
      </c>
      <c r="N54" s="108">
        <v>7538127</v>
      </c>
      <c r="O54" s="112"/>
    </row>
    <row r="55" spans="1:31" ht="24.75" customHeight="1">
      <c r="B55" s="27"/>
      <c r="C55" s="27"/>
      <c r="D55" s="110" t="s">
        <v>407</v>
      </c>
      <c r="E55" s="27"/>
      <c r="F55" s="109"/>
      <c r="G55" s="113">
        <f>G54/F54-1</f>
        <v>0.10505453947384491</v>
      </c>
      <c r="H55" s="113">
        <f t="shared" ref="H55" si="90">H54/G54-1</f>
        <v>4.2315165869356797E-2</v>
      </c>
      <c r="I55" s="113">
        <f t="shared" ref="I55" si="91">I54/H54-1</f>
        <v>7.3268411560799773E-2</v>
      </c>
      <c r="J55" s="113">
        <f t="shared" ref="J55" si="92">J54/I54-1</f>
        <v>4.817145881200724E-2</v>
      </c>
      <c r="K55" s="113">
        <f t="shared" ref="K55" si="93">K54/J54-1</f>
        <v>7.1153988441594596E-2</v>
      </c>
      <c r="L55" s="113">
        <f t="shared" ref="L55" si="94">L54/K54-1</f>
        <v>2.6300884654654411E-2</v>
      </c>
      <c r="M55" s="113">
        <f t="shared" ref="M55" si="95">M54/L54-1</f>
        <v>4.4672625665114429E-2</v>
      </c>
      <c r="N55" s="113">
        <f t="shared" ref="N55" si="96">N54/M54-1</f>
        <v>3.1113722212685158E-2</v>
      </c>
    </row>
    <row r="56" spans="1:31" ht="24.75" customHeight="1">
      <c r="A56" s="102"/>
      <c r="B56" s="27"/>
      <c r="C56" s="27"/>
      <c r="D56" s="110" t="s">
        <v>437</v>
      </c>
      <c r="E56" s="27"/>
      <c r="F56" s="109">
        <f>F54/F60</f>
        <v>0.79465349526275253</v>
      </c>
      <c r="G56" s="109">
        <f t="shared" ref="G56:N56" si="97">G54/G60</f>
        <v>0.80295943405575132</v>
      </c>
      <c r="H56" s="109">
        <f t="shared" si="97"/>
        <v>0.80061067980821921</v>
      </c>
      <c r="I56" s="109">
        <f t="shared" si="97"/>
        <v>0.80162166906784382</v>
      </c>
      <c r="J56" s="109">
        <f t="shared" si="97"/>
        <v>0.76897802953394234</v>
      </c>
      <c r="K56" s="109">
        <f t="shared" si="97"/>
        <v>0.76447691783340654</v>
      </c>
      <c r="L56" s="109">
        <f t="shared" si="97"/>
        <v>0.75960391431270169</v>
      </c>
      <c r="M56" s="109">
        <f t="shared" si="97"/>
        <v>0.75679722733062771</v>
      </c>
      <c r="N56" s="109">
        <f t="shared" si="97"/>
        <v>0.75036268245859183</v>
      </c>
    </row>
    <row r="57" spans="1:31" s="111" customFormat="1" ht="23.25" customHeight="1">
      <c r="A57" s="112"/>
      <c r="B57" s="116" t="s">
        <v>421</v>
      </c>
      <c r="C57" s="116" t="s">
        <v>434</v>
      </c>
      <c r="D57" s="116" t="s">
        <v>438</v>
      </c>
      <c r="E57" s="116" t="s">
        <v>436</v>
      </c>
      <c r="F57" s="108">
        <v>1269510</v>
      </c>
      <c r="G57" s="108">
        <v>1332209</v>
      </c>
      <c r="H57" s="108">
        <v>1409256</v>
      </c>
      <c r="I57" s="108">
        <v>1502943</v>
      </c>
      <c r="J57" s="108">
        <v>1912447</v>
      </c>
      <c r="K57" s="108">
        <v>2100734</v>
      </c>
      <c r="L57" s="108">
        <v>2214710</v>
      </c>
      <c r="M57" s="108">
        <v>2349340</v>
      </c>
      <c r="N57" s="108">
        <v>2507851</v>
      </c>
      <c r="O57" s="112"/>
    </row>
    <row r="58" spans="1:31" ht="23.25" customHeight="1">
      <c r="A58" s="102"/>
      <c r="B58" s="27"/>
      <c r="C58" s="27"/>
      <c r="D58" s="110" t="s">
        <v>407</v>
      </c>
      <c r="E58" s="27"/>
      <c r="F58" s="109"/>
      <c r="G58" s="113">
        <f>G57/F57-1</f>
        <v>4.9388346684941409E-2</v>
      </c>
      <c r="H58" s="113">
        <f t="shared" ref="H58" si="98">H57/G57-1</f>
        <v>5.7834018536130571E-2</v>
      </c>
      <c r="I58" s="113">
        <f t="shared" ref="I58" si="99">I57/H57-1</f>
        <v>6.6479759532689586E-2</v>
      </c>
      <c r="J58" s="113">
        <f t="shared" ref="J58" si="100">J57/I57-1</f>
        <v>0.27246808428529889</v>
      </c>
      <c r="K58" s="113">
        <f t="shared" ref="K58" si="101">K57/J57-1</f>
        <v>9.8453447337364164E-2</v>
      </c>
      <c r="L58" s="113">
        <f t="shared" ref="L58" si="102">L57/K57-1</f>
        <v>5.4255322187387822E-2</v>
      </c>
      <c r="M58" s="113">
        <f t="shared" ref="M58" si="103">M57/L57-1</f>
        <v>6.0788997205051709E-2</v>
      </c>
      <c r="N58" s="113">
        <f t="shared" ref="N58" si="104">N57/M57-1</f>
        <v>6.7470438506133545E-2</v>
      </c>
    </row>
    <row r="59" spans="1:31" ht="23.25" customHeight="1">
      <c r="A59" s="102"/>
      <c r="B59" s="27"/>
      <c r="C59" s="27"/>
      <c r="D59" s="110" t="s">
        <v>437</v>
      </c>
      <c r="E59" s="27"/>
      <c r="F59" s="109">
        <f>F57/F60</f>
        <v>0.2053465047372475</v>
      </c>
      <c r="G59" s="109">
        <f t="shared" ref="G59:M59" si="105">G57/G60</f>
        <v>0.19704056594424862</v>
      </c>
      <c r="H59" s="109">
        <f t="shared" si="105"/>
        <v>0.19938932019178079</v>
      </c>
      <c r="I59" s="109">
        <f t="shared" si="105"/>
        <v>0.19837833093215612</v>
      </c>
      <c r="J59" s="109">
        <f t="shared" si="105"/>
        <v>0.2310219704660576</v>
      </c>
      <c r="K59" s="109">
        <f t="shared" si="105"/>
        <v>0.23552308216659343</v>
      </c>
      <c r="L59" s="109">
        <f t="shared" si="105"/>
        <v>0.24039608568729828</v>
      </c>
      <c r="M59" s="109">
        <f t="shared" si="105"/>
        <v>0.24320277266937232</v>
      </c>
      <c r="N59" s="109">
        <f>N57/N60</f>
        <v>0.24963731754140811</v>
      </c>
    </row>
    <row r="60" spans="1:31" s="111" customFormat="1" ht="25.5" customHeight="1">
      <c r="B60" s="116" t="s">
        <v>421</v>
      </c>
      <c r="C60" s="116" t="s">
        <v>434</v>
      </c>
      <c r="D60" s="116" t="s">
        <v>439</v>
      </c>
      <c r="E60" s="116" t="s">
        <v>436</v>
      </c>
      <c r="F60" s="108">
        <f>SUM(F54,F57)</f>
        <v>6182282</v>
      </c>
      <c r="G60" s="108">
        <f t="shared" ref="G60:N60" si="106">SUM(G54,G57)</f>
        <v>6761090</v>
      </c>
      <c r="H60" s="108">
        <f t="shared" si="106"/>
        <v>7067861</v>
      </c>
      <c r="I60" s="108">
        <f t="shared" si="106"/>
        <v>7576145</v>
      </c>
      <c r="J60" s="108">
        <f t="shared" si="106"/>
        <v>8278204</v>
      </c>
      <c r="K60" s="108">
        <f t="shared" si="106"/>
        <v>8919440</v>
      </c>
      <c r="L60" s="108">
        <f t="shared" si="106"/>
        <v>9212754</v>
      </c>
      <c r="M60" s="108">
        <f t="shared" si="106"/>
        <v>9660005</v>
      </c>
      <c r="N60" s="108">
        <f t="shared" si="106"/>
        <v>10045978</v>
      </c>
      <c r="O60" s="112"/>
    </row>
    <row r="61" spans="1:31" s="111" customFormat="1" ht="25.5" customHeight="1">
      <c r="A61"/>
      <c r="B61" s="27"/>
      <c r="C61" s="27"/>
      <c r="D61" s="110" t="s">
        <v>407</v>
      </c>
      <c r="E61" s="27"/>
      <c r="F61" s="109"/>
      <c r="G61" s="113">
        <f>G60/F60-1</f>
        <v>9.3623681352613897E-2</v>
      </c>
      <c r="H61" s="113">
        <f t="shared" ref="H61" si="107">H60/G60-1</f>
        <v>4.5373009381623364E-2</v>
      </c>
      <c r="I61" s="113">
        <f t="shared" ref="I61" si="108">I60/H60-1</f>
        <v>7.1914826847896407E-2</v>
      </c>
      <c r="J61" s="113">
        <f t="shared" ref="J61" si="109">J60/I60-1</f>
        <v>9.2667049007113755E-2</v>
      </c>
      <c r="K61" s="113">
        <f t="shared" ref="K61" si="110">K60/J60-1</f>
        <v>7.7460763228352381E-2</v>
      </c>
      <c r="L61" s="113">
        <f t="shared" ref="L61" si="111">L60/K60-1</f>
        <v>3.2884799942597187E-2</v>
      </c>
      <c r="M61" s="113">
        <f t="shared" ref="M61" si="112">M60/L60-1</f>
        <v>4.8546938298797526E-2</v>
      </c>
      <c r="N61" s="113">
        <f t="shared" ref="N61" si="113">N60/M60-1</f>
        <v>3.9955776420405487E-2</v>
      </c>
      <c r="O61" s="102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1:31" s="111" customFormat="1" ht="24" customHeight="1">
      <c r="B62" s="116" t="s">
        <v>421</v>
      </c>
      <c r="C62" s="116" t="s">
        <v>440</v>
      </c>
      <c r="D62" s="116" t="s">
        <v>441</v>
      </c>
      <c r="E62" s="116" t="s">
        <v>34</v>
      </c>
      <c r="F62" s="108">
        <v>615</v>
      </c>
      <c r="G62" s="108">
        <v>615</v>
      </c>
      <c r="H62" s="108">
        <v>643</v>
      </c>
      <c r="I62" s="108">
        <v>723</v>
      </c>
      <c r="J62" s="108">
        <v>814</v>
      </c>
      <c r="K62" s="108">
        <v>925</v>
      </c>
      <c r="L62" s="108">
        <v>920</v>
      </c>
      <c r="M62" s="108">
        <v>923</v>
      </c>
      <c r="N62" s="108">
        <v>951</v>
      </c>
      <c r="O62" s="112"/>
    </row>
    <row r="63" spans="1:31" s="111" customFormat="1" ht="25.5" customHeight="1">
      <c r="B63" s="116" t="s">
        <v>421</v>
      </c>
      <c r="C63" s="116" t="s">
        <v>440</v>
      </c>
      <c r="D63" s="116" t="s">
        <v>442</v>
      </c>
      <c r="E63" s="116" t="s">
        <v>443</v>
      </c>
      <c r="F63" s="108">
        <v>682800</v>
      </c>
      <c r="G63" s="108">
        <v>719094</v>
      </c>
      <c r="H63" s="108">
        <v>743473</v>
      </c>
      <c r="I63" s="108">
        <v>837198</v>
      </c>
      <c r="J63" s="108">
        <v>904294</v>
      </c>
      <c r="K63" s="108">
        <v>1017524</v>
      </c>
      <c r="L63" s="108">
        <v>1021561</v>
      </c>
      <c r="M63" s="108">
        <v>1004585</v>
      </c>
      <c r="N63" s="108">
        <v>1077585</v>
      </c>
      <c r="O63" s="112"/>
    </row>
    <row r="64" spans="1:31" ht="28.5" customHeight="1">
      <c r="B64" s="25" t="s">
        <v>444</v>
      </c>
      <c r="C64" s="25" t="s">
        <v>445</v>
      </c>
      <c r="D64" s="25"/>
      <c r="E64" s="25"/>
      <c r="F64" s="26"/>
      <c r="G64" s="26"/>
      <c r="H64" s="26"/>
      <c r="I64" s="26"/>
      <c r="J64" s="26"/>
      <c r="K64" s="26"/>
      <c r="L64" s="26"/>
      <c r="M64" s="26"/>
      <c r="N64" s="26"/>
    </row>
    <row r="65" spans="2:14" ht="18" customHeight="1">
      <c r="B65" s="30" t="s">
        <v>444</v>
      </c>
      <c r="C65" s="30" t="s">
        <v>446</v>
      </c>
      <c r="D65" s="30" t="s">
        <v>334</v>
      </c>
      <c r="E65" s="30" t="s">
        <v>28</v>
      </c>
      <c r="F65" s="31"/>
      <c r="G65" s="31">
        <v>81791.735000000001</v>
      </c>
      <c r="H65" s="31">
        <v>95753.392000000007</v>
      </c>
      <c r="I65" s="31">
        <v>98354.629000000001</v>
      </c>
      <c r="J65" s="31">
        <v>106632.288</v>
      </c>
      <c r="K65" s="31">
        <v>107206.265</v>
      </c>
      <c r="L65" s="31">
        <v>120186.026</v>
      </c>
      <c r="M65" s="31">
        <v>150969.12100000001</v>
      </c>
      <c r="N65" s="31">
        <v>146508.70499999999</v>
      </c>
    </row>
    <row r="66" spans="2:14" ht="18" customHeight="1">
      <c r="B66" s="30" t="s">
        <v>444</v>
      </c>
      <c r="C66" s="30" t="s">
        <v>446</v>
      </c>
      <c r="D66" s="30" t="s">
        <v>335</v>
      </c>
      <c r="E66" s="30" t="s">
        <v>28</v>
      </c>
      <c r="F66" s="31"/>
      <c r="G66" s="31">
        <v>13643.134</v>
      </c>
      <c r="H66" s="31">
        <v>16675.792000000001</v>
      </c>
      <c r="I66" s="31">
        <v>17817.855</v>
      </c>
      <c r="J66" s="31">
        <v>20578.339</v>
      </c>
      <c r="K66" s="31">
        <v>19666.579000000002</v>
      </c>
      <c r="L66" s="31">
        <v>24172.172999999999</v>
      </c>
      <c r="M66" s="31">
        <v>34297.847999999998</v>
      </c>
      <c r="N66" s="31">
        <v>37565.703999999998</v>
      </c>
    </row>
    <row r="67" spans="2:14" ht="18" customHeight="1">
      <c r="B67" s="30" t="s">
        <v>444</v>
      </c>
      <c r="C67" s="30" t="s">
        <v>446</v>
      </c>
      <c r="D67" s="30" t="s">
        <v>447</v>
      </c>
      <c r="E67" s="30" t="s">
        <v>28</v>
      </c>
      <c r="F67" s="32"/>
      <c r="G67" s="32">
        <v>95434.869000000006</v>
      </c>
      <c r="H67" s="32">
        <v>112429.18399999999</v>
      </c>
      <c r="I67" s="32">
        <v>116172.484</v>
      </c>
      <c r="J67" s="32">
        <v>127210.62699999999</v>
      </c>
      <c r="K67" s="32">
        <v>126872.844</v>
      </c>
      <c r="L67" s="32">
        <v>144358.19899999999</v>
      </c>
      <c r="M67" s="32">
        <v>185266.96900000001</v>
      </c>
      <c r="N67" s="32">
        <v>184074.40900000001</v>
      </c>
    </row>
    <row r="68" spans="2:14" ht="18" customHeight="1">
      <c r="B68" s="30" t="s">
        <v>444</v>
      </c>
      <c r="C68" s="30" t="s">
        <v>448</v>
      </c>
      <c r="D68" s="30" t="s">
        <v>336</v>
      </c>
      <c r="E68" s="30" t="s">
        <v>28</v>
      </c>
      <c r="F68" s="31"/>
      <c r="G68" s="31">
        <v>9322.1949999999997</v>
      </c>
      <c r="H68" s="31">
        <v>859.69</v>
      </c>
      <c r="I68" s="31">
        <v>923.64800000000002</v>
      </c>
      <c r="J68" s="31">
        <v>6333.0649999999996</v>
      </c>
      <c r="K68" s="31">
        <v>7322.5839999999998</v>
      </c>
      <c r="L68" s="31">
        <v>14021.413</v>
      </c>
      <c r="M68" s="31">
        <v>23938.217000000001</v>
      </c>
      <c r="N68" s="31">
        <v>10412.662</v>
      </c>
    </row>
    <row r="69" spans="2:14" ht="18" customHeight="1">
      <c r="B69" s="30" t="s">
        <v>444</v>
      </c>
      <c r="C69" s="30" t="s">
        <v>448</v>
      </c>
      <c r="D69" s="30" t="s">
        <v>337</v>
      </c>
      <c r="E69" s="30" t="s">
        <v>28</v>
      </c>
      <c r="F69" s="31"/>
      <c r="G69" s="31">
        <v>26621.91</v>
      </c>
      <c r="H69" s="31">
        <v>19852.012999999999</v>
      </c>
      <c r="I69" s="31">
        <v>16162.47</v>
      </c>
      <c r="J69" s="31">
        <v>11859.696</v>
      </c>
      <c r="K69" s="31">
        <v>24446.58</v>
      </c>
      <c r="L69" s="31">
        <v>34155.050000000003</v>
      </c>
      <c r="M69" s="31">
        <v>24292.059000000001</v>
      </c>
      <c r="N69" s="31">
        <v>27168.969000000001</v>
      </c>
    </row>
    <row r="70" spans="2:14" ht="18" customHeight="1">
      <c r="B70" s="30" t="s">
        <v>444</v>
      </c>
      <c r="C70" s="30" t="s">
        <v>449</v>
      </c>
      <c r="D70" s="30" t="s">
        <v>338</v>
      </c>
      <c r="E70" s="30" t="s">
        <v>28</v>
      </c>
      <c r="F70" s="31"/>
      <c r="G70" s="31"/>
      <c r="H70" s="31"/>
      <c r="I70" s="31"/>
      <c r="J70" s="31">
        <v>-1283.7829999999999</v>
      </c>
      <c r="K70" s="31">
        <v>-1288.7539999999999</v>
      </c>
      <c r="L70" s="31">
        <v>-1559.7080000000001</v>
      </c>
      <c r="M70" s="31">
        <v>-2373.6480000000001</v>
      </c>
      <c r="N70" s="31">
        <v>-2371.4720000000002</v>
      </c>
    </row>
    <row r="71" spans="2:14" ht="18" customHeight="1">
      <c r="B71" s="30" t="s">
        <v>444</v>
      </c>
      <c r="C71" s="30" t="s">
        <v>446</v>
      </c>
      <c r="D71" s="30" t="s">
        <v>205</v>
      </c>
      <c r="E71" s="30" t="s">
        <v>28</v>
      </c>
      <c r="F71" s="31">
        <v>120742.27</v>
      </c>
      <c r="G71" s="31">
        <v>131378.97399999999</v>
      </c>
      <c r="H71" s="31">
        <v>133140.88699999999</v>
      </c>
      <c r="I71" s="31">
        <v>133258.60200000001</v>
      </c>
      <c r="J71" s="31">
        <v>144119.60500000001</v>
      </c>
      <c r="K71" s="31">
        <v>157353.25399999999</v>
      </c>
      <c r="L71" s="31">
        <v>190974.954</v>
      </c>
      <c r="M71" s="31">
        <v>231123.59700000001</v>
      </c>
      <c r="N71" s="31">
        <v>219284.568</v>
      </c>
    </row>
    <row r="72" spans="2:14" ht="18" customHeight="1">
      <c r="B72" s="30" t="s">
        <v>444</v>
      </c>
      <c r="C72" s="30" t="s">
        <v>450</v>
      </c>
      <c r="D72" s="30" t="s">
        <v>135</v>
      </c>
      <c r="E72" s="30" t="s">
        <v>28</v>
      </c>
      <c r="F72" s="31">
        <v>38064</v>
      </c>
      <c r="G72" s="31">
        <v>38066</v>
      </c>
      <c r="H72" s="31">
        <v>38706</v>
      </c>
      <c r="I72" s="31">
        <v>43916</v>
      </c>
      <c r="J72" s="31">
        <v>43210</v>
      </c>
      <c r="K72" s="31">
        <v>46105</v>
      </c>
      <c r="L72" s="31">
        <v>57057</v>
      </c>
      <c r="M72" s="31">
        <v>69155</v>
      </c>
      <c r="N72" s="31">
        <v>68189</v>
      </c>
    </row>
    <row r="73" spans="2:14" ht="18" customHeight="1">
      <c r="B73" s="30" t="s">
        <v>444</v>
      </c>
      <c r="C73" s="30" t="s">
        <v>450</v>
      </c>
      <c r="D73" s="30" t="s">
        <v>342</v>
      </c>
      <c r="E73" s="30" t="s">
        <v>28</v>
      </c>
      <c r="F73" s="31">
        <v>25590</v>
      </c>
      <c r="G73" s="31">
        <v>26995</v>
      </c>
      <c r="H73" s="31">
        <v>29314</v>
      </c>
      <c r="I73" s="31">
        <v>25553</v>
      </c>
      <c r="J73" s="31">
        <v>25953</v>
      </c>
      <c r="K73" s="31">
        <v>29799</v>
      </c>
      <c r="L73" s="31">
        <v>34811</v>
      </c>
      <c r="M73" s="31">
        <v>41998</v>
      </c>
      <c r="N73" s="31">
        <v>41715</v>
      </c>
    </row>
    <row r="74" spans="2:14" ht="18" customHeight="1">
      <c r="B74" s="30" t="s">
        <v>444</v>
      </c>
      <c r="C74" s="30" t="s">
        <v>450</v>
      </c>
      <c r="D74" s="30" t="s">
        <v>343</v>
      </c>
      <c r="E74" s="30" t="s">
        <v>28</v>
      </c>
      <c r="F74" s="31">
        <v>55706</v>
      </c>
      <c r="G74" s="31">
        <v>59528</v>
      </c>
      <c r="H74" s="31">
        <v>63870</v>
      </c>
      <c r="I74" s="31">
        <v>62818</v>
      </c>
      <c r="J74" s="31">
        <v>73887</v>
      </c>
      <c r="K74" s="31">
        <v>80261</v>
      </c>
      <c r="L74" s="31">
        <v>97596</v>
      </c>
      <c r="M74" s="31">
        <v>117692</v>
      </c>
      <c r="N74" s="31">
        <v>106493</v>
      </c>
    </row>
    <row r="75" spans="2:14" ht="18" customHeight="1">
      <c r="B75" s="30" t="s">
        <v>444</v>
      </c>
      <c r="C75" s="30" t="s">
        <v>450</v>
      </c>
      <c r="D75" s="30" t="s">
        <v>344</v>
      </c>
      <c r="E75" s="30" t="s">
        <v>28</v>
      </c>
      <c r="F75" s="31">
        <v>414</v>
      </c>
      <c r="G75" s="31">
        <v>464</v>
      </c>
      <c r="H75" s="31">
        <v>658</v>
      </c>
      <c r="I75" s="31">
        <v>766</v>
      </c>
      <c r="J75" s="31">
        <v>821</v>
      </c>
      <c r="K75" s="31">
        <v>923</v>
      </c>
      <c r="L75" s="31">
        <v>948</v>
      </c>
      <c r="M75" s="31">
        <v>1318</v>
      </c>
      <c r="N75" s="31">
        <v>1640</v>
      </c>
    </row>
    <row r="76" spans="2:14" ht="18" customHeight="1">
      <c r="B76" s="30" t="s">
        <v>444</v>
      </c>
      <c r="C76" s="30" t="s">
        <v>450</v>
      </c>
      <c r="D76" s="30" t="s">
        <v>345</v>
      </c>
      <c r="E76" s="30" t="s">
        <v>28</v>
      </c>
      <c r="F76" s="31"/>
      <c r="G76" s="31"/>
      <c r="H76" s="31"/>
      <c r="I76" s="31"/>
      <c r="J76" s="31"/>
      <c r="K76" s="31"/>
      <c r="L76" s="31"/>
      <c r="M76" s="31">
        <v>24</v>
      </c>
      <c r="N76" s="31">
        <v>85</v>
      </c>
    </row>
    <row r="77" spans="2:14" ht="18" customHeight="1">
      <c r="B77" s="30" t="s">
        <v>444</v>
      </c>
      <c r="C77" s="30" t="s">
        <v>450</v>
      </c>
      <c r="D77" s="30" t="s">
        <v>148</v>
      </c>
      <c r="E77" s="30" t="s">
        <v>28</v>
      </c>
      <c r="F77" s="31">
        <v>343</v>
      </c>
      <c r="G77" s="31">
        <v>410</v>
      </c>
      <c r="H77" s="31">
        <v>546</v>
      </c>
      <c r="I77" s="31">
        <v>206</v>
      </c>
      <c r="J77" s="31">
        <v>249</v>
      </c>
      <c r="K77" s="31">
        <v>266</v>
      </c>
      <c r="L77" s="31">
        <v>562</v>
      </c>
      <c r="M77" s="31">
        <v>936</v>
      </c>
      <c r="N77" s="31">
        <v>1162</v>
      </c>
    </row>
    <row r="78" spans="2:14" ht="18" customHeight="1">
      <c r="B78" s="30" t="s">
        <v>444</v>
      </c>
      <c r="C78" s="30" t="s">
        <v>450</v>
      </c>
      <c r="D78" s="30" t="s">
        <v>346</v>
      </c>
      <c r="E78" s="30" t="s">
        <v>28</v>
      </c>
      <c r="F78" s="31">
        <v>10376</v>
      </c>
      <c r="G78" s="31">
        <v>11846</v>
      </c>
      <c r="H78" s="31">
        <v>10772</v>
      </c>
      <c r="I78" s="31">
        <v>10071</v>
      </c>
      <c r="J78" s="31">
        <v>10369</v>
      </c>
      <c r="K78" s="31">
        <v>10551</v>
      </c>
      <c r="L78" s="31">
        <v>12473</v>
      </c>
      <c r="M78" s="31">
        <v>12429</v>
      </c>
      <c r="N78" s="31">
        <v>12013</v>
      </c>
    </row>
    <row r="79" spans="2:14" ht="24" customHeight="1">
      <c r="B79" s="25" t="s">
        <v>451</v>
      </c>
      <c r="C79" s="25" t="s">
        <v>452</v>
      </c>
      <c r="D79" s="25"/>
      <c r="E79" s="25"/>
      <c r="F79" s="26"/>
      <c r="G79" s="26"/>
      <c r="H79" s="26"/>
      <c r="I79" s="26"/>
      <c r="J79" s="26"/>
      <c r="K79" s="26"/>
      <c r="L79" s="26"/>
      <c r="M79" s="26"/>
      <c r="N79" s="26"/>
    </row>
    <row r="80" spans="2:14" ht="29.25" customHeight="1">
      <c r="B80" s="23" t="s">
        <v>451</v>
      </c>
      <c r="C80" s="23" t="s">
        <v>211</v>
      </c>
      <c r="D80" s="23" t="s">
        <v>360</v>
      </c>
      <c r="E80" s="23" t="s">
        <v>28</v>
      </c>
      <c r="F80" s="31"/>
      <c r="G80" s="31"/>
      <c r="H80" s="31"/>
      <c r="I80" s="31"/>
      <c r="J80" s="31">
        <v>0</v>
      </c>
      <c r="K80" s="31">
        <v>7050</v>
      </c>
      <c r="L80" s="31">
        <v>2358.3330000000001</v>
      </c>
      <c r="M80" s="31">
        <v>0</v>
      </c>
      <c r="N80" s="31">
        <v>0</v>
      </c>
    </row>
    <row r="81" spans="2:14" ht="32.25" customHeight="1">
      <c r="B81" s="23" t="s">
        <v>451</v>
      </c>
      <c r="C81" s="23" t="s">
        <v>211</v>
      </c>
      <c r="D81" s="23" t="s">
        <v>197</v>
      </c>
      <c r="E81" s="23" t="s">
        <v>28</v>
      </c>
      <c r="F81" s="31"/>
      <c r="G81" s="31">
        <v>6837.1040000000003</v>
      </c>
      <c r="H81" s="31">
        <v>6438.5290000000005</v>
      </c>
      <c r="I81" s="31">
        <v>5517.8209999999999</v>
      </c>
      <c r="J81" s="31">
        <v>4769.0690000000004</v>
      </c>
      <c r="K81" s="31">
        <v>3807.7139999999999</v>
      </c>
      <c r="L81" s="31">
        <v>3576.5129999999999</v>
      </c>
      <c r="M81" s="31">
        <v>3675.5839999999998</v>
      </c>
      <c r="N81" s="31">
        <v>2804.165</v>
      </c>
    </row>
    <row r="82" spans="2:14" ht="29.25" customHeight="1">
      <c r="B82" s="23" t="s">
        <v>451</v>
      </c>
      <c r="C82" s="23" t="s">
        <v>211</v>
      </c>
      <c r="D82" s="23" t="s">
        <v>199</v>
      </c>
      <c r="E82" s="23" t="s">
        <v>28</v>
      </c>
      <c r="F82" s="31"/>
      <c r="G82" s="31">
        <v>450.62400000000002</v>
      </c>
      <c r="H82" s="31">
        <v>492.86500000000001</v>
      </c>
      <c r="I82" s="31">
        <v>524.40700000000004</v>
      </c>
      <c r="J82" s="31">
        <v>643.02099999999996</v>
      </c>
      <c r="K82" s="31">
        <v>700.76700000000005</v>
      </c>
      <c r="L82" s="31">
        <v>812.35699999999997</v>
      </c>
      <c r="M82" s="31">
        <v>939.53</v>
      </c>
      <c r="N82" s="31">
        <v>935.87300000000005</v>
      </c>
    </row>
    <row r="83" spans="2:14" ht="24.75" customHeight="1">
      <c r="B83" s="23" t="s">
        <v>451</v>
      </c>
      <c r="C83" s="23" t="s">
        <v>211</v>
      </c>
      <c r="D83" s="23" t="s">
        <v>200</v>
      </c>
      <c r="E83" s="23" t="s">
        <v>28</v>
      </c>
      <c r="F83" s="31"/>
      <c r="G83" s="31">
        <v>1019.955</v>
      </c>
      <c r="H83" s="31">
        <v>1156.202</v>
      </c>
      <c r="I83" s="31">
        <v>727.74099999999999</v>
      </c>
      <c r="J83" s="31">
        <v>744.78800000000001</v>
      </c>
      <c r="K83" s="31">
        <v>637.95000000000005</v>
      </c>
      <c r="L83" s="31">
        <v>1081.0509999999999</v>
      </c>
      <c r="M83" s="31">
        <v>1322.7819999999999</v>
      </c>
      <c r="N83" s="31">
        <v>2339.5970000000002</v>
      </c>
    </row>
    <row r="84" spans="2:14" ht="27" customHeight="1">
      <c r="B84" s="23" t="s">
        <v>451</v>
      </c>
      <c r="C84" s="23" t="s">
        <v>211</v>
      </c>
      <c r="D84" s="23" t="s">
        <v>361</v>
      </c>
      <c r="E84" s="23" t="s">
        <v>28</v>
      </c>
      <c r="F84" s="31"/>
      <c r="G84" s="31">
        <v>206.42699999999999</v>
      </c>
      <c r="H84" s="31">
        <v>73.269000000000005</v>
      </c>
      <c r="I84" s="31">
        <v>58.058</v>
      </c>
      <c r="J84" s="31">
        <v>15.023</v>
      </c>
      <c r="K84" s="31">
        <v>18.834</v>
      </c>
      <c r="L84" s="31">
        <v>0</v>
      </c>
      <c r="M84" s="31">
        <v>0</v>
      </c>
      <c r="N84" s="31">
        <v>0</v>
      </c>
    </row>
    <row r="85" spans="2:14" ht="31.5" customHeight="1">
      <c r="B85" s="23" t="s">
        <v>451</v>
      </c>
      <c r="C85" s="23" t="s">
        <v>211</v>
      </c>
      <c r="D85" s="23" t="s">
        <v>453</v>
      </c>
      <c r="E85" s="23" t="s">
        <v>28</v>
      </c>
      <c r="F85" s="31"/>
      <c r="G85" s="31">
        <v>391.27300000000002</v>
      </c>
      <c r="H85" s="31">
        <v>128.66999999999999</v>
      </c>
      <c r="I85" s="31">
        <v>211.892</v>
      </c>
      <c r="J85" s="31">
        <v>223.47300000000001</v>
      </c>
      <c r="K85" s="31">
        <v>193.88900000000001</v>
      </c>
      <c r="L85" s="31">
        <v>180.233</v>
      </c>
      <c r="M85" s="31">
        <v>162.60599999999999</v>
      </c>
      <c r="N85" s="31">
        <v>135.69999999999999</v>
      </c>
    </row>
    <row r="86" spans="2:14" ht="31.5" customHeight="1">
      <c r="B86" s="23" t="s">
        <v>451</v>
      </c>
      <c r="C86" s="23" t="s">
        <v>211</v>
      </c>
      <c r="D86" s="23" t="s">
        <v>202</v>
      </c>
      <c r="E86" s="23" t="s">
        <v>28</v>
      </c>
      <c r="F86" s="31"/>
      <c r="G86" s="31">
        <v>143.93600000000001</v>
      </c>
      <c r="H86" s="31">
        <v>194.52600000000001</v>
      </c>
      <c r="I86" s="31">
        <v>252.393</v>
      </c>
      <c r="J86" s="31">
        <v>552.51400000000001</v>
      </c>
      <c r="K86" s="31">
        <v>779.66300000000001</v>
      </c>
      <c r="L86" s="31">
        <v>961.73400000000004</v>
      </c>
      <c r="M86" s="31">
        <v>1004.351</v>
      </c>
      <c r="N86" s="31">
        <v>930.60699999999997</v>
      </c>
    </row>
    <row r="87" spans="2:14" ht="24.75" customHeight="1">
      <c r="B87" s="23" t="s">
        <v>451</v>
      </c>
      <c r="C87" s="23" t="s">
        <v>211</v>
      </c>
      <c r="D87" s="23" t="s">
        <v>203</v>
      </c>
      <c r="E87" s="23" t="s">
        <v>28</v>
      </c>
      <c r="F87" s="31"/>
      <c r="G87" s="31">
        <v>128.61699999999999</v>
      </c>
      <c r="H87" s="31">
        <v>101.73</v>
      </c>
      <c r="I87" s="31">
        <v>95.174999999999997</v>
      </c>
      <c r="J87" s="31">
        <v>98.203999999999994</v>
      </c>
      <c r="K87" s="31">
        <v>107.02500000000001</v>
      </c>
      <c r="L87" s="31">
        <v>125.598</v>
      </c>
      <c r="M87" s="31">
        <v>144.66800000000001</v>
      </c>
      <c r="N87" s="31">
        <v>120.617</v>
      </c>
    </row>
    <row r="88" spans="2:14" ht="18" customHeight="1">
      <c r="B88" s="23" t="s">
        <v>451</v>
      </c>
      <c r="C88" s="23" t="s">
        <v>211</v>
      </c>
      <c r="D88" s="23" t="s">
        <v>195</v>
      </c>
      <c r="E88" s="23" t="s">
        <v>28</v>
      </c>
      <c r="F88" s="31"/>
      <c r="G88" s="31">
        <v>9177.9359999999997</v>
      </c>
      <c r="H88" s="31">
        <v>8585.7909999999993</v>
      </c>
      <c r="I88" s="31">
        <v>7387.4870000000001</v>
      </c>
      <c r="J88" s="31">
        <v>7046.0919999999996</v>
      </c>
      <c r="K88" s="31">
        <v>13295.842000000001</v>
      </c>
      <c r="L88" s="31">
        <v>9095.8189999999995</v>
      </c>
      <c r="M88" s="31">
        <v>7249.5209999999997</v>
      </c>
      <c r="N88" s="31">
        <v>7266.5590000000002</v>
      </c>
    </row>
    <row r="89" spans="2:14" ht="39.75" customHeight="1">
      <c r="B89" s="25" t="s">
        <v>454</v>
      </c>
      <c r="C89" s="25" t="s">
        <v>455</v>
      </c>
      <c r="D89" s="25"/>
      <c r="E89" s="25"/>
      <c r="F89" s="26"/>
      <c r="G89" s="26"/>
      <c r="H89" s="26"/>
      <c r="I89" s="26"/>
      <c r="J89" s="26"/>
      <c r="K89" s="26"/>
      <c r="L89" s="26"/>
      <c r="M89" s="26"/>
      <c r="N89" s="26"/>
    </row>
    <row r="90" spans="2:14" ht="27" customHeight="1">
      <c r="B90" s="30" t="s">
        <v>454</v>
      </c>
      <c r="C90" s="30" t="s">
        <v>456</v>
      </c>
      <c r="D90" s="30" t="s">
        <v>351</v>
      </c>
      <c r="E90" s="30" t="s">
        <v>28</v>
      </c>
      <c r="F90" s="31"/>
      <c r="G90" s="31">
        <v>-52795.031000000003</v>
      </c>
      <c r="H90" s="31">
        <v>-70878.035999999993</v>
      </c>
      <c r="I90" s="31">
        <v>-74445.008000000002</v>
      </c>
      <c r="J90" s="31">
        <v>-76037.297999999995</v>
      </c>
      <c r="K90" s="31">
        <v>-80655.152000000002</v>
      </c>
      <c r="L90" s="31">
        <v>-93430.911999999997</v>
      </c>
      <c r="M90" s="31">
        <v>-106366.49</v>
      </c>
      <c r="N90" s="31">
        <v>-100031.19899999999</v>
      </c>
    </row>
    <row r="91" spans="2:14" ht="24" customHeight="1">
      <c r="B91" s="30" t="s">
        <v>454</v>
      </c>
      <c r="C91" s="30" t="s">
        <v>456</v>
      </c>
      <c r="D91" s="30" t="s">
        <v>352</v>
      </c>
      <c r="E91" s="30" t="s">
        <v>28</v>
      </c>
      <c r="F91" s="31"/>
      <c r="G91" s="31">
        <v>-7714.2640000000001</v>
      </c>
      <c r="H91" s="31">
        <v>-985.70399999999995</v>
      </c>
      <c r="I91" s="31">
        <v>-1993.8820000000001</v>
      </c>
      <c r="J91" s="31">
        <v>-6998.5240000000003</v>
      </c>
      <c r="K91" s="31">
        <v>-9072.5910000000003</v>
      </c>
      <c r="L91" s="31">
        <v>-15982.432000000001</v>
      </c>
      <c r="M91" s="31"/>
      <c r="N91" s="31"/>
    </row>
    <row r="92" spans="2:14" ht="26.25" customHeight="1">
      <c r="B92" s="30" t="s">
        <v>454</v>
      </c>
      <c r="C92" s="30" t="s">
        <v>456</v>
      </c>
      <c r="D92" s="30" t="s">
        <v>353</v>
      </c>
      <c r="E92" s="30" t="s">
        <v>28</v>
      </c>
      <c r="F92" s="31"/>
      <c r="G92" s="31"/>
      <c r="H92" s="31"/>
      <c r="I92" s="31"/>
      <c r="J92" s="31"/>
      <c r="K92" s="31">
        <v>-1123.501</v>
      </c>
      <c r="L92" s="31">
        <v>-5318.0749999999998</v>
      </c>
      <c r="M92" s="31">
        <v>-279.49700000000001</v>
      </c>
      <c r="N92" s="31">
        <v>-416.11</v>
      </c>
    </row>
    <row r="93" spans="2:14" ht="18" customHeight="1">
      <c r="B93" s="30" t="s">
        <v>454</v>
      </c>
      <c r="C93" s="30" t="s">
        <v>456</v>
      </c>
      <c r="D93" s="30" t="s">
        <v>176</v>
      </c>
      <c r="E93" s="30" t="s">
        <v>28</v>
      </c>
      <c r="F93" s="31"/>
      <c r="G93" s="31">
        <v>-23591.184000000001</v>
      </c>
      <c r="H93" s="31">
        <v>-18288.556</v>
      </c>
      <c r="I93" s="31">
        <v>-11060.502</v>
      </c>
      <c r="J93" s="31">
        <v>-11184.191999999999</v>
      </c>
      <c r="K93" s="31">
        <v>-26494.109</v>
      </c>
      <c r="L93" s="31">
        <v>-28093.511999999999</v>
      </c>
      <c r="M93" s="31">
        <v>-43756.771000000001</v>
      </c>
      <c r="N93" s="31">
        <v>-44198.184999999998</v>
      </c>
    </row>
    <row r="94" spans="2:14" ht="27.75" customHeight="1">
      <c r="B94" s="30" t="s">
        <v>454</v>
      </c>
      <c r="C94" s="30" t="s">
        <v>456</v>
      </c>
      <c r="D94" s="30" t="s">
        <v>354</v>
      </c>
      <c r="E94" s="30" t="s">
        <v>28</v>
      </c>
      <c r="F94" s="31"/>
      <c r="G94" s="31"/>
      <c r="H94" s="31"/>
      <c r="I94" s="31"/>
      <c r="J94" s="31"/>
      <c r="K94" s="31">
        <v>-1.3140000000000001</v>
      </c>
      <c r="L94" s="31">
        <v>-750.59900000000005</v>
      </c>
      <c r="M94" s="31">
        <v>-203.14599999999999</v>
      </c>
      <c r="N94" s="31">
        <v>-18.111000000000001</v>
      </c>
    </row>
    <row r="95" spans="2:14" ht="27.75" customHeight="1">
      <c r="B95" s="30" t="s">
        <v>454</v>
      </c>
      <c r="C95" s="30" t="s">
        <v>456</v>
      </c>
      <c r="D95" s="30" t="s">
        <v>173</v>
      </c>
      <c r="E95" s="30" t="s">
        <v>28</v>
      </c>
      <c r="F95" s="31"/>
      <c r="G95" s="31">
        <v>-84100.479000000007</v>
      </c>
      <c r="H95" s="31">
        <v>-90152.296000000002</v>
      </c>
      <c r="I95" s="31">
        <v>-87499.392000000007</v>
      </c>
      <c r="J95" s="31">
        <v>-94220.013999999996</v>
      </c>
      <c r="K95" s="31">
        <v>-117346.667</v>
      </c>
      <c r="L95" s="31">
        <v>-143575.53</v>
      </c>
      <c r="M95" s="31">
        <v>-150605.90400000001</v>
      </c>
      <c r="N95" s="31">
        <v>-144663.60500000001</v>
      </c>
    </row>
    <row r="96" spans="2:14" ht="32.25" customHeight="1">
      <c r="B96" s="30" t="s">
        <v>454</v>
      </c>
      <c r="C96" s="30" t="s">
        <v>457</v>
      </c>
      <c r="D96" s="30" t="s">
        <v>458</v>
      </c>
      <c r="E96" s="30" t="s">
        <v>28</v>
      </c>
      <c r="F96" s="31"/>
      <c r="G96" s="31">
        <v>26621.91</v>
      </c>
      <c r="H96" s="31">
        <v>19852.012999999999</v>
      </c>
      <c r="I96" s="31">
        <v>16162.47</v>
      </c>
      <c r="J96" s="31">
        <v>11859.696</v>
      </c>
      <c r="K96" s="31">
        <v>24446.58</v>
      </c>
      <c r="L96" s="31">
        <v>34155.050000000003</v>
      </c>
      <c r="M96" s="31">
        <v>24292.059000000001</v>
      </c>
      <c r="N96" s="31">
        <v>27168.969000000001</v>
      </c>
    </row>
    <row r="97" spans="2:14" ht="26.25" customHeight="1">
      <c r="B97" s="30" t="s">
        <v>454</v>
      </c>
      <c r="C97" s="30" t="s">
        <v>457</v>
      </c>
      <c r="D97" s="30" t="s">
        <v>459</v>
      </c>
      <c r="E97" s="30" t="s">
        <v>28</v>
      </c>
      <c r="F97" s="31"/>
      <c r="G97" s="31">
        <v>-23591.184000000001</v>
      </c>
      <c r="H97" s="31">
        <v>-18288.556</v>
      </c>
      <c r="I97" s="31">
        <v>-11060.502</v>
      </c>
      <c r="J97" s="31">
        <v>-11184.191999999999</v>
      </c>
      <c r="K97" s="31">
        <v>-26494.109</v>
      </c>
      <c r="L97" s="31">
        <v>-28093.511999999999</v>
      </c>
      <c r="M97" s="31">
        <v>-24910.417000000001</v>
      </c>
      <c r="N97" s="31">
        <v>-23479</v>
      </c>
    </row>
    <row r="98" spans="2:14" ht="25.5" customHeight="1">
      <c r="B98" s="30" t="s">
        <v>454</v>
      </c>
      <c r="C98" s="30" t="s">
        <v>457</v>
      </c>
      <c r="D98" s="30" t="s">
        <v>460</v>
      </c>
      <c r="E98" s="30" t="s">
        <v>28</v>
      </c>
      <c r="F98" s="32" t="str">
        <f t="shared" ref="F98:N98" si="114">IF(OR(F96="",F97=""),"",F96+F97)</f>
        <v/>
      </c>
      <c r="G98" s="32">
        <f t="shared" si="114"/>
        <v>3030.7259999999987</v>
      </c>
      <c r="H98" s="32">
        <f t="shared" si="114"/>
        <v>1563.4569999999985</v>
      </c>
      <c r="I98" s="32">
        <f t="shared" si="114"/>
        <v>5101.9679999999989</v>
      </c>
      <c r="J98" s="32">
        <f t="shared" si="114"/>
        <v>675.50400000000081</v>
      </c>
      <c r="K98" s="32">
        <f t="shared" si="114"/>
        <v>-2047.5289999999986</v>
      </c>
      <c r="L98" s="32">
        <f t="shared" si="114"/>
        <v>6061.5380000000041</v>
      </c>
      <c r="M98" s="32">
        <f t="shared" si="114"/>
        <v>-618.35800000000017</v>
      </c>
      <c r="N98" s="32">
        <f t="shared" si="114"/>
        <v>3689.969000000001</v>
      </c>
    </row>
    <row r="99" spans="2:14" ht="27.75" customHeight="1">
      <c r="B99" s="30" t="s">
        <v>454</v>
      </c>
      <c r="C99" s="30" t="s">
        <v>461</v>
      </c>
      <c r="D99" s="30" t="s">
        <v>462</v>
      </c>
      <c r="E99" s="30" t="s">
        <v>122</v>
      </c>
      <c r="F99" s="28"/>
      <c r="G99" s="28">
        <v>5053</v>
      </c>
      <c r="H99" s="28">
        <v>5033</v>
      </c>
      <c r="I99" s="28"/>
      <c r="J99" s="28"/>
      <c r="K99" s="28"/>
      <c r="L99" s="28"/>
      <c r="M99" s="28">
        <v>5707</v>
      </c>
      <c r="N99" s="28">
        <v>5718</v>
      </c>
    </row>
    <row r="100" spans="2:14" ht="25.5" customHeight="1">
      <c r="B100" s="30" t="s">
        <v>454</v>
      </c>
      <c r="C100" s="30" t="s">
        <v>461</v>
      </c>
      <c r="D100" s="30" t="s">
        <v>463</v>
      </c>
      <c r="E100" s="30" t="s">
        <v>122</v>
      </c>
      <c r="F100" s="28">
        <v>3339</v>
      </c>
      <c r="G100" s="28">
        <v>3224</v>
      </c>
      <c r="H100" s="28">
        <v>3741</v>
      </c>
      <c r="I100" s="28"/>
      <c r="J100" s="28"/>
      <c r="K100" s="28"/>
      <c r="L100" s="28"/>
      <c r="M100" s="28">
        <v>3396</v>
      </c>
      <c r="N100" s="28">
        <v>3504</v>
      </c>
    </row>
    <row r="101" spans="2:14" ht="26.25" customHeight="1">
      <c r="B101" s="30" t="s">
        <v>454</v>
      </c>
      <c r="C101" s="30" t="s">
        <v>461</v>
      </c>
      <c r="D101" s="30" t="s">
        <v>464</v>
      </c>
      <c r="E101" s="30" t="s">
        <v>122</v>
      </c>
      <c r="F101" s="28"/>
      <c r="G101" s="28">
        <v>0</v>
      </c>
      <c r="H101" s="28">
        <v>1192</v>
      </c>
      <c r="I101" s="28"/>
      <c r="J101" s="28"/>
      <c r="K101" s="28"/>
      <c r="L101" s="28"/>
      <c r="M101" s="28">
        <v>1780</v>
      </c>
      <c r="N101" s="28">
        <v>1908</v>
      </c>
    </row>
    <row r="102" spans="2:14" ht="26.25" customHeight="1">
      <c r="B102" s="30" t="s">
        <v>454</v>
      </c>
      <c r="C102" s="30" t="s">
        <v>461</v>
      </c>
      <c r="D102" s="30" t="s">
        <v>167</v>
      </c>
      <c r="E102" s="30" t="s">
        <v>122</v>
      </c>
      <c r="F102" s="28">
        <v>832</v>
      </c>
      <c r="G102" s="28">
        <v>2206</v>
      </c>
      <c r="H102" s="28">
        <v>1240</v>
      </c>
      <c r="I102" s="28"/>
      <c r="J102" s="28"/>
      <c r="K102" s="28"/>
      <c r="L102" s="28"/>
      <c r="M102" s="28">
        <v>1129</v>
      </c>
      <c r="N102" s="28">
        <v>1335</v>
      </c>
    </row>
    <row r="103" spans="2:14" ht="24.75" customHeight="1">
      <c r="B103" s="30" t="s">
        <v>454</v>
      </c>
      <c r="C103" s="30" t="s">
        <v>461</v>
      </c>
      <c r="D103" s="30" t="s">
        <v>465</v>
      </c>
      <c r="E103" s="30" t="s">
        <v>122</v>
      </c>
      <c r="F103" s="28"/>
      <c r="G103" s="28"/>
      <c r="H103" s="28"/>
      <c r="I103" s="28"/>
      <c r="J103" s="28"/>
      <c r="K103" s="28"/>
      <c r="L103" s="28"/>
      <c r="M103" s="28">
        <v>473</v>
      </c>
      <c r="N103" s="28">
        <v>473</v>
      </c>
    </row>
    <row r="104" spans="2:14" ht="27" customHeight="1">
      <c r="B104" s="30" t="s">
        <v>454</v>
      </c>
      <c r="C104" s="30" t="s">
        <v>461</v>
      </c>
      <c r="D104" s="30" t="s">
        <v>466</v>
      </c>
      <c r="E104" s="30" t="s">
        <v>122</v>
      </c>
      <c r="F104" s="28">
        <v>184</v>
      </c>
      <c r="G104" s="28">
        <v>171</v>
      </c>
      <c r="H104" s="28">
        <v>170</v>
      </c>
      <c r="I104" s="28"/>
      <c r="J104" s="28"/>
      <c r="K104" s="28"/>
      <c r="L104" s="28"/>
      <c r="M104" s="28">
        <v>1199</v>
      </c>
      <c r="N104" s="28">
        <v>1534</v>
      </c>
    </row>
    <row r="105" spans="2:14" ht="24" customHeight="1">
      <c r="B105" s="25" t="s">
        <v>467</v>
      </c>
      <c r="C105" s="25" t="s">
        <v>468</v>
      </c>
      <c r="D105" s="25"/>
      <c r="E105" s="25"/>
      <c r="F105" s="26"/>
      <c r="G105" s="26"/>
      <c r="H105" s="26"/>
      <c r="I105" s="26"/>
      <c r="J105" s="26"/>
      <c r="K105" s="26"/>
      <c r="L105" s="26"/>
      <c r="M105" s="26"/>
      <c r="N105" s="26"/>
    </row>
    <row r="106" spans="2:14" ht="29.25" customHeight="1">
      <c r="B106" s="23" t="s">
        <v>467</v>
      </c>
      <c r="C106" s="23" t="s">
        <v>469</v>
      </c>
      <c r="D106" s="23" t="s">
        <v>189</v>
      </c>
      <c r="E106" s="23" t="s">
        <v>28</v>
      </c>
      <c r="F106" s="31"/>
      <c r="G106" s="31">
        <v>-11312.806</v>
      </c>
      <c r="H106" s="31">
        <v>-10805.536</v>
      </c>
      <c r="I106" s="31">
        <v>-11118.76</v>
      </c>
      <c r="J106" s="31">
        <v>-10237.382</v>
      </c>
      <c r="K106" s="31">
        <v>-20261.151999999998</v>
      </c>
      <c r="L106" s="31">
        <v>-20664.395</v>
      </c>
      <c r="M106" s="31">
        <v>-22972.92</v>
      </c>
      <c r="N106" s="31">
        <v>-24348.120999999999</v>
      </c>
    </row>
    <row r="107" spans="2:14" ht="26.25" customHeight="1">
      <c r="B107" s="23" t="s">
        <v>467</v>
      </c>
      <c r="C107" s="23" t="s">
        <v>469</v>
      </c>
      <c r="D107" s="23" t="s">
        <v>191</v>
      </c>
      <c r="E107" s="23" t="s">
        <v>28</v>
      </c>
      <c r="F107" s="31"/>
      <c r="G107" s="31">
        <v>-15418.032999999999</v>
      </c>
      <c r="H107" s="31">
        <v>-7674.1360000000004</v>
      </c>
      <c r="I107" s="31">
        <v>-6659.415</v>
      </c>
      <c r="J107" s="31">
        <v>-5765.2979999999998</v>
      </c>
      <c r="K107" s="31">
        <v>-4784.165</v>
      </c>
      <c r="L107" s="31">
        <v>-2976.8229999999999</v>
      </c>
      <c r="M107" s="31">
        <v>-5956.2150000000001</v>
      </c>
      <c r="N107" s="31">
        <v>-6118.0159999999996</v>
      </c>
    </row>
    <row r="108" spans="2:14" ht="26.25" customHeight="1">
      <c r="B108" s="23" t="s">
        <v>467</v>
      </c>
      <c r="C108" s="23" t="s">
        <v>469</v>
      </c>
      <c r="D108" s="23" t="s">
        <v>192</v>
      </c>
      <c r="E108" s="23" t="s">
        <v>28</v>
      </c>
      <c r="F108" s="31"/>
      <c r="G108" s="31">
        <v>-17809.798999999999</v>
      </c>
      <c r="H108" s="31">
        <v>-21129.39</v>
      </c>
      <c r="I108" s="31">
        <v>-26788.609</v>
      </c>
      <c r="J108" s="31">
        <v>-23503.895</v>
      </c>
      <c r="K108" s="31">
        <v>-11942.109</v>
      </c>
      <c r="L108" s="31">
        <v>-11269.511</v>
      </c>
      <c r="M108" s="31">
        <v>-16170.315000000001</v>
      </c>
      <c r="N108" s="31">
        <v>-16388.444</v>
      </c>
    </row>
    <row r="109" spans="2:14" ht="24.75" customHeight="1">
      <c r="B109" s="23" t="s">
        <v>467</v>
      </c>
      <c r="C109" s="23" t="s">
        <v>469</v>
      </c>
      <c r="D109" s="23" t="s">
        <v>193</v>
      </c>
      <c r="E109" s="23" t="s">
        <v>28</v>
      </c>
      <c r="F109" s="31"/>
      <c r="G109" s="31"/>
      <c r="H109" s="31">
        <v>-1434.364</v>
      </c>
      <c r="I109" s="31">
        <v>-3267.6869999999999</v>
      </c>
      <c r="J109" s="31">
        <v>-354.19</v>
      </c>
      <c r="K109" s="31">
        <v>831.91700000000003</v>
      </c>
      <c r="L109" s="31">
        <v>-2371.0880000000002</v>
      </c>
      <c r="M109" s="31">
        <v>-1178.489</v>
      </c>
      <c r="N109" s="31">
        <v>4433.1440000000002</v>
      </c>
    </row>
    <row r="110" spans="2:14" ht="18" customHeight="1">
      <c r="B110" s="23" t="s">
        <v>467</v>
      </c>
      <c r="C110" s="23" t="s">
        <v>469</v>
      </c>
      <c r="D110" s="23" t="s">
        <v>187</v>
      </c>
      <c r="E110" s="23" t="s">
        <v>28</v>
      </c>
      <c r="F110" s="31"/>
      <c r="G110" s="31">
        <v>-44540.637999999999</v>
      </c>
      <c r="H110" s="31">
        <v>-41043.425999999999</v>
      </c>
      <c r="I110" s="31">
        <v>-47834.470999999998</v>
      </c>
      <c r="J110" s="31">
        <v>-39860.764999999999</v>
      </c>
      <c r="K110" s="31">
        <v>-36155.508999999998</v>
      </c>
      <c r="L110" s="31">
        <v>-37281.817000000003</v>
      </c>
      <c r="M110" s="31">
        <v>-46277.938999999998</v>
      </c>
      <c r="N110" s="31">
        <v>-42421.436999999998</v>
      </c>
    </row>
    <row r="111" spans="2:14" ht="18" customHeight="1">
      <c r="B111" s="23"/>
      <c r="C111" s="23"/>
      <c r="D111" s="23"/>
      <c r="E111" s="23"/>
      <c r="F111" s="31"/>
      <c r="G111" s="31"/>
      <c r="H111" s="31"/>
      <c r="I111" s="31"/>
      <c r="J111" s="31"/>
      <c r="K111" s="31"/>
      <c r="L111" s="31"/>
      <c r="M111" s="31"/>
      <c r="N111" s="31"/>
    </row>
    <row r="112" spans="2:14" ht="18" customHeight="1">
      <c r="B112" s="7"/>
      <c r="C112" s="8"/>
      <c r="D112" s="8"/>
      <c r="E112" s="8"/>
      <c r="F112" s="16">
        <v>43100</v>
      </c>
      <c r="G112" s="16">
        <f>EOMONTH(F112,12)</f>
        <v>43465</v>
      </c>
      <c r="H112" s="16">
        <f t="shared" ref="H112:N112" si="115">EOMONTH(G112,12)</f>
        <v>43830</v>
      </c>
      <c r="I112" s="16">
        <f t="shared" si="115"/>
        <v>44196</v>
      </c>
      <c r="J112" s="16">
        <f t="shared" si="115"/>
        <v>44561</v>
      </c>
      <c r="K112" s="16">
        <f t="shared" si="115"/>
        <v>44926</v>
      </c>
      <c r="L112" s="16">
        <f t="shared" si="115"/>
        <v>45291</v>
      </c>
      <c r="M112" s="105">
        <f t="shared" si="115"/>
        <v>45657</v>
      </c>
      <c r="N112" s="105">
        <f t="shared" si="115"/>
        <v>46022</v>
      </c>
    </row>
    <row r="113" spans="2:14" ht="24" customHeight="1">
      <c r="B113" s="17" t="s">
        <v>470</v>
      </c>
      <c r="C113" s="9"/>
      <c r="D113" s="9"/>
      <c r="E113" s="18" t="s">
        <v>471</v>
      </c>
      <c r="F113" s="19" t="s">
        <v>107</v>
      </c>
      <c r="G113" s="19" t="s">
        <v>108</v>
      </c>
      <c r="H113" s="19" t="s">
        <v>109</v>
      </c>
      <c r="I113" s="19" t="s">
        <v>110</v>
      </c>
      <c r="J113" s="19" t="s">
        <v>111</v>
      </c>
      <c r="K113" s="19" t="s">
        <v>112</v>
      </c>
      <c r="L113" s="19" t="s">
        <v>113</v>
      </c>
      <c r="M113" s="106" t="s">
        <v>114</v>
      </c>
      <c r="N113" s="106" t="s">
        <v>115</v>
      </c>
    </row>
    <row r="114" spans="2:14" ht="18" customHeight="1">
      <c r="B114" s="23" t="s">
        <v>472</v>
      </c>
      <c r="C114" s="23" t="s">
        <v>473</v>
      </c>
      <c r="D114" s="23" t="s">
        <v>205</v>
      </c>
      <c r="E114" s="23" t="s">
        <v>28</v>
      </c>
      <c r="F114" s="31">
        <v>120742.27</v>
      </c>
      <c r="G114" s="31">
        <v>131378.97399999999</v>
      </c>
      <c r="H114" s="31">
        <v>133140.88699999999</v>
      </c>
      <c r="I114" s="31">
        <v>133258.60200000001</v>
      </c>
      <c r="J114" s="31">
        <v>144119.60500000001</v>
      </c>
      <c r="K114" s="31">
        <v>157353.25399999999</v>
      </c>
      <c r="L114" s="31">
        <v>190974.954</v>
      </c>
      <c r="M114" s="31">
        <v>231123.59700000001</v>
      </c>
      <c r="N114" s="31">
        <v>219284.568</v>
      </c>
    </row>
    <row r="115" spans="2:14" ht="18" customHeight="1">
      <c r="B115" s="23" t="s">
        <v>472</v>
      </c>
      <c r="C115" s="23" t="s">
        <v>473</v>
      </c>
      <c r="D115" s="23" t="s">
        <v>206</v>
      </c>
      <c r="E115" s="23" t="s">
        <v>28</v>
      </c>
      <c r="F115" s="31"/>
      <c r="G115" s="31">
        <v>-84100.479000000007</v>
      </c>
      <c r="H115" s="31">
        <v>-90152.296000000002</v>
      </c>
      <c r="I115" s="31">
        <v>-87499.392000000007</v>
      </c>
      <c r="J115" s="31">
        <v>-94220.013999999996</v>
      </c>
      <c r="K115" s="31">
        <v>-117346.667</v>
      </c>
      <c r="L115" s="31">
        <v>-143575.53</v>
      </c>
      <c r="M115" s="31">
        <v>-150605.90400000001</v>
      </c>
      <c r="N115" s="31">
        <v>-144663.60500000001</v>
      </c>
    </row>
    <row r="116" spans="2:14" ht="18" customHeight="1">
      <c r="B116" s="23" t="s">
        <v>472</v>
      </c>
      <c r="C116" s="23" t="s">
        <v>473</v>
      </c>
      <c r="D116" s="23" t="s">
        <v>207</v>
      </c>
      <c r="E116" s="23" t="s">
        <v>28</v>
      </c>
      <c r="F116" s="32" t="str">
        <f t="shared" ref="F116:N116" si="116">IF(OR(F114="",F115=""),"",F114+F115)</f>
        <v/>
      </c>
      <c r="G116" s="32">
        <f t="shared" si="116"/>
        <v>47278.494999999981</v>
      </c>
      <c r="H116" s="32">
        <f t="shared" si="116"/>
        <v>42988.590999999986</v>
      </c>
      <c r="I116" s="32">
        <f t="shared" si="116"/>
        <v>45759.210000000006</v>
      </c>
      <c r="J116" s="32">
        <f t="shared" si="116"/>
        <v>49899.591000000015</v>
      </c>
      <c r="K116" s="32">
        <f t="shared" si="116"/>
        <v>40006.586999999985</v>
      </c>
      <c r="L116" s="32">
        <f t="shared" si="116"/>
        <v>47399.423999999999</v>
      </c>
      <c r="M116" s="32">
        <f t="shared" si="116"/>
        <v>80517.692999999999</v>
      </c>
      <c r="N116" s="32">
        <f t="shared" si="116"/>
        <v>74620.962999999989</v>
      </c>
    </row>
    <row r="117" spans="2:14" ht="18" customHeight="1">
      <c r="B117" s="23" t="s">
        <v>472</v>
      </c>
      <c r="C117" s="23" t="s">
        <v>473</v>
      </c>
      <c r="D117" s="23" t="s">
        <v>187</v>
      </c>
      <c r="E117" s="23" t="s">
        <v>28</v>
      </c>
      <c r="F117" s="31"/>
      <c r="G117" s="31">
        <v>-44540.637999999999</v>
      </c>
      <c r="H117" s="31">
        <v>-41043.425999999999</v>
      </c>
      <c r="I117" s="31">
        <v>-47834.470999999998</v>
      </c>
      <c r="J117" s="31">
        <v>-39860.764999999999</v>
      </c>
      <c r="K117" s="31">
        <v>-36155.508999999998</v>
      </c>
      <c r="L117" s="31">
        <v>-37281.817000000003</v>
      </c>
      <c r="M117" s="31">
        <v>-46277.938999999998</v>
      </c>
      <c r="N117" s="31">
        <v>-42421.436999999998</v>
      </c>
    </row>
    <row r="118" spans="2:14" ht="18" customHeight="1">
      <c r="B118" s="23" t="s">
        <v>472</v>
      </c>
      <c r="C118" s="23" t="s">
        <v>473</v>
      </c>
      <c r="D118" s="23" t="s">
        <v>210</v>
      </c>
      <c r="E118" s="23" t="s">
        <v>28</v>
      </c>
      <c r="F118" s="32" t="str">
        <f t="shared" ref="F118:N118" si="117">IF(OR(F116="",F117=""),"",F116+F117)</f>
        <v/>
      </c>
      <c r="G118" s="32">
        <f t="shared" si="117"/>
        <v>2737.8569999999818</v>
      </c>
      <c r="H118" s="32">
        <f t="shared" si="117"/>
        <v>1945.1649999999863</v>
      </c>
      <c r="I118" s="32">
        <f t="shared" si="117"/>
        <v>-2075.2609999999913</v>
      </c>
      <c r="J118" s="32">
        <f t="shared" si="117"/>
        <v>10038.826000000015</v>
      </c>
      <c r="K118" s="32">
        <f t="shared" si="117"/>
        <v>3851.0779999999868</v>
      </c>
      <c r="L118" s="32">
        <f t="shared" si="117"/>
        <v>10117.606999999996</v>
      </c>
      <c r="M118" s="32">
        <f t="shared" si="117"/>
        <v>34239.754000000001</v>
      </c>
      <c r="N118" s="32">
        <f t="shared" si="117"/>
        <v>32199.525999999991</v>
      </c>
    </row>
    <row r="119" spans="2:14" ht="18" customHeight="1">
      <c r="B119" s="23" t="s">
        <v>472</v>
      </c>
      <c r="C119" s="23" t="s">
        <v>473</v>
      </c>
      <c r="D119" s="23" t="s">
        <v>211</v>
      </c>
      <c r="E119" s="23" t="s">
        <v>28</v>
      </c>
      <c r="F119" s="31"/>
      <c r="G119" s="31">
        <v>9177.9359999999997</v>
      </c>
      <c r="H119" s="31">
        <v>8585.7909999999993</v>
      </c>
      <c r="I119" s="31">
        <v>7387.4870000000001</v>
      </c>
      <c r="J119" s="31">
        <v>7046.0919999999996</v>
      </c>
      <c r="K119" s="31">
        <v>13295.842000000001</v>
      </c>
      <c r="L119" s="31">
        <v>9095.8189999999995</v>
      </c>
      <c r="M119" s="31">
        <v>7249.5209999999997</v>
      </c>
      <c r="N119" s="31">
        <v>7266.5590000000002</v>
      </c>
    </row>
    <row r="120" spans="2:14" ht="18" customHeight="1">
      <c r="B120" s="23" t="s">
        <v>472</v>
      </c>
      <c r="C120" s="23" t="s">
        <v>473</v>
      </c>
      <c r="D120" s="23" t="s">
        <v>327</v>
      </c>
      <c r="E120" s="23" t="s">
        <v>28</v>
      </c>
      <c r="F120" s="31">
        <v>13652.536</v>
      </c>
      <c r="G120" s="31">
        <v>11915.793</v>
      </c>
      <c r="H120" s="31">
        <v>10530.956</v>
      </c>
      <c r="I120" s="31">
        <v>5312.2259999999997</v>
      </c>
      <c r="J120" s="31">
        <v>17084.918000000001</v>
      </c>
      <c r="K120" s="31">
        <v>17146.919999999998</v>
      </c>
      <c r="L120" s="31">
        <v>19213.425999999999</v>
      </c>
      <c r="M120" s="31">
        <v>41489.275000000001</v>
      </c>
      <c r="N120" s="31">
        <v>39466.084999999999</v>
      </c>
    </row>
    <row r="121" spans="2:14" ht="18" customHeight="1">
      <c r="B121" s="23" t="s">
        <v>472</v>
      </c>
      <c r="C121" s="23" t="s">
        <v>473</v>
      </c>
      <c r="D121" s="23" t="s">
        <v>214</v>
      </c>
      <c r="E121" s="23" t="s">
        <v>28</v>
      </c>
      <c r="F121" s="31">
        <v>46.003999999999998</v>
      </c>
      <c r="G121" s="31">
        <v>100</v>
      </c>
      <c r="H121" s="31">
        <v>117.9</v>
      </c>
      <c r="I121" s="31">
        <v>123.188</v>
      </c>
      <c r="J121" s="31">
        <v>162.86199999999999</v>
      </c>
      <c r="K121" s="31">
        <v>396.94</v>
      </c>
      <c r="L121" s="31">
        <v>506.64</v>
      </c>
      <c r="M121" s="31">
        <v>1493.9559999999999</v>
      </c>
      <c r="N121" s="31">
        <v>625.21799999999996</v>
      </c>
    </row>
    <row r="122" spans="2:14" ht="18" customHeight="1">
      <c r="B122" s="23" t="s">
        <v>472</v>
      </c>
      <c r="C122" s="23" t="s">
        <v>473</v>
      </c>
      <c r="D122" s="23" t="s">
        <v>215</v>
      </c>
      <c r="E122" s="23" t="s">
        <v>28</v>
      </c>
      <c r="F122" s="31">
        <v>-6039.9709999999995</v>
      </c>
      <c r="G122" s="31">
        <v>-7047.5259999999998</v>
      </c>
      <c r="H122" s="31">
        <v>-10315.242</v>
      </c>
      <c r="I122" s="31">
        <v>-12477.428</v>
      </c>
      <c r="J122" s="31">
        <v>-9050.1239999999998</v>
      </c>
      <c r="K122" s="31">
        <v>-12760.259</v>
      </c>
      <c r="L122" s="31">
        <v>-24153.921999999999</v>
      </c>
      <c r="M122" s="31">
        <v>682.798</v>
      </c>
      <c r="N122" s="31">
        <v>-4716.6189999999997</v>
      </c>
    </row>
    <row r="123" spans="2:14" ht="18" customHeight="1">
      <c r="B123" s="23" t="s">
        <v>472</v>
      </c>
      <c r="C123" s="23" t="s">
        <v>473</v>
      </c>
      <c r="D123" s="23" t="s">
        <v>371</v>
      </c>
      <c r="E123" s="23" t="s">
        <v>28</v>
      </c>
      <c r="F123" s="31">
        <v>7658.5690000000004</v>
      </c>
      <c r="G123" s="31">
        <v>4968.2669999999998</v>
      </c>
      <c r="H123" s="31">
        <v>333.61399999999998</v>
      </c>
      <c r="I123" s="31">
        <v>-7042.0140000000001</v>
      </c>
      <c r="J123" s="31">
        <v>8197.6560000000009</v>
      </c>
      <c r="K123" s="31">
        <v>4783.6009999999997</v>
      </c>
      <c r="L123" s="31">
        <v>-4433.8559999999998</v>
      </c>
      <c r="M123" s="31">
        <v>43666.029000000002</v>
      </c>
      <c r="N123" s="31">
        <v>35374.684000000001</v>
      </c>
    </row>
    <row r="124" spans="2:14" ht="18" customHeight="1">
      <c r="B124" s="23" t="s">
        <v>472</v>
      </c>
      <c r="C124" s="23" t="s">
        <v>473</v>
      </c>
      <c r="D124" s="23" t="s">
        <v>217</v>
      </c>
      <c r="E124" s="23" t="s">
        <v>28</v>
      </c>
      <c r="F124" s="31">
        <v>-2376.2139999999999</v>
      </c>
      <c r="G124" s="31">
        <v>-1699.6410000000001</v>
      </c>
      <c r="H124" s="31">
        <v>-72.061000000000007</v>
      </c>
      <c r="I124" s="31">
        <v>6102.5320000000002</v>
      </c>
      <c r="J124" s="31">
        <v>-6707.9679999999998</v>
      </c>
      <c r="K124" s="31">
        <v>-1520.742</v>
      </c>
      <c r="L124" s="31">
        <v>1240.6769999999999</v>
      </c>
      <c r="M124" s="31">
        <v>-13585.659</v>
      </c>
      <c r="N124" s="31">
        <v>-10908.159</v>
      </c>
    </row>
    <row r="125" spans="2:14" ht="18" customHeight="1">
      <c r="B125" s="23" t="s">
        <v>472</v>
      </c>
      <c r="C125" s="23" t="s">
        <v>473</v>
      </c>
      <c r="D125" s="23" t="s">
        <v>218</v>
      </c>
      <c r="E125" s="23" t="s">
        <v>28</v>
      </c>
      <c r="F125" s="31">
        <v>5282.3549999999996</v>
      </c>
      <c r="G125" s="31">
        <v>3268.6260000000002</v>
      </c>
      <c r="H125" s="31">
        <v>261.553</v>
      </c>
      <c r="I125" s="31">
        <v>-939.48199999999997</v>
      </c>
      <c r="J125" s="31">
        <v>1489.6880000000001</v>
      </c>
      <c r="K125" s="31">
        <v>3262.8589999999999</v>
      </c>
      <c r="L125" s="31">
        <v>-3193.1790000000001</v>
      </c>
      <c r="M125" s="31">
        <v>30080.37</v>
      </c>
      <c r="N125" s="31">
        <v>24466.525000000001</v>
      </c>
    </row>
    <row r="126" spans="2:14" ht="18" customHeight="1">
      <c r="B126" s="23" t="s">
        <v>472</v>
      </c>
      <c r="C126" s="23" t="s">
        <v>473</v>
      </c>
      <c r="D126" s="23" t="s">
        <v>474</v>
      </c>
      <c r="E126" s="23" t="s">
        <v>28</v>
      </c>
      <c r="F126" s="31">
        <v>5280.4250000000002</v>
      </c>
      <c r="G126" s="31">
        <v>3268.6260000000002</v>
      </c>
      <c r="H126" s="31">
        <v>261.553</v>
      </c>
      <c r="I126" s="31">
        <v>-939.48199999999997</v>
      </c>
      <c r="J126" s="31">
        <v>1489.6880000000001</v>
      </c>
      <c r="K126" s="31">
        <v>3262.8589999999999</v>
      </c>
      <c r="L126" s="31">
        <v>-3193.1790000000001</v>
      </c>
      <c r="M126" s="31">
        <v>30080.37</v>
      </c>
      <c r="N126" s="31">
        <v>24466.525000000001</v>
      </c>
    </row>
    <row r="127" spans="2:14" ht="18" customHeight="1">
      <c r="B127" s="23" t="s">
        <v>472</v>
      </c>
      <c r="C127" s="23" t="s">
        <v>473</v>
      </c>
      <c r="D127" s="23" t="s">
        <v>475</v>
      </c>
      <c r="E127" s="23" t="s">
        <v>22</v>
      </c>
      <c r="F127" s="29">
        <v>2.71</v>
      </c>
      <c r="G127" s="29">
        <v>1.67</v>
      </c>
      <c r="H127" s="29">
        <v>0.13</v>
      </c>
      <c r="I127" s="29">
        <v>-0.48</v>
      </c>
      <c r="J127" s="29">
        <v>0.76</v>
      </c>
      <c r="K127" s="29">
        <v>1.67</v>
      </c>
      <c r="L127" s="29">
        <v>-1.64</v>
      </c>
      <c r="M127" s="29">
        <v>15.41</v>
      </c>
      <c r="N127" s="29">
        <v>12.54</v>
      </c>
    </row>
    <row r="128" spans="2:14" ht="30" customHeight="1">
      <c r="B128" s="25" t="s">
        <v>476</v>
      </c>
      <c r="C128" s="25" t="s">
        <v>477</v>
      </c>
      <c r="D128" s="25"/>
      <c r="E128" s="25"/>
      <c r="F128" s="26"/>
      <c r="G128" s="26"/>
      <c r="H128" s="26"/>
      <c r="I128" s="26"/>
      <c r="J128" s="26"/>
      <c r="K128" s="26"/>
      <c r="L128" s="26"/>
      <c r="M128" s="26"/>
      <c r="N128" s="26"/>
    </row>
    <row r="129" spans="2:14" ht="27" customHeight="1">
      <c r="B129" s="30" t="s">
        <v>476</v>
      </c>
      <c r="C129" s="30" t="s">
        <v>383</v>
      </c>
      <c r="D129" s="30" t="s">
        <v>478</v>
      </c>
      <c r="E129" s="30" t="s">
        <v>28</v>
      </c>
      <c r="F129" s="31"/>
      <c r="G129" s="31">
        <v>63910.853000000003</v>
      </c>
      <c r="H129" s="31">
        <v>64088.743000000002</v>
      </c>
      <c r="I129" s="31">
        <v>64082.659</v>
      </c>
      <c r="J129" s="31">
        <v>67822.45</v>
      </c>
      <c r="K129" s="31">
        <v>72606.23</v>
      </c>
      <c r="L129" s="31">
        <v>87272.894</v>
      </c>
      <c r="M129" s="31">
        <v>105578.988</v>
      </c>
      <c r="N129" s="31">
        <v>101763.75</v>
      </c>
    </row>
    <row r="130" spans="2:14" ht="29.25" customHeight="1">
      <c r="B130" s="30" t="s">
        <v>476</v>
      </c>
      <c r="C130" s="30" t="s">
        <v>385</v>
      </c>
      <c r="D130" s="30" t="s">
        <v>478</v>
      </c>
      <c r="E130" s="30" t="s">
        <v>28</v>
      </c>
      <c r="F130" s="31"/>
      <c r="G130" s="31">
        <v>23860.38</v>
      </c>
      <c r="H130" s="31">
        <v>24076.276999999998</v>
      </c>
      <c r="I130" s="31">
        <v>24566.370999999999</v>
      </c>
      <c r="J130" s="31">
        <v>26915.17</v>
      </c>
      <c r="K130" s="31">
        <v>30316.716</v>
      </c>
      <c r="L130" s="31">
        <v>36994.830999999998</v>
      </c>
      <c r="M130" s="31">
        <v>44833.417000000001</v>
      </c>
      <c r="N130" s="31">
        <v>42238.472000000002</v>
      </c>
    </row>
    <row r="131" spans="2:14" ht="24.75" customHeight="1">
      <c r="B131" s="30" t="s">
        <v>476</v>
      </c>
      <c r="C131" s="30" t="s">
        <v>386</v>
      </c>
      <c r="D131" s="30" t="s">
        <v>478</v>
      </c>
      <c r="E131" s="30" t="s">
        <v>28</v>
      </c>
      <c r="F131" s="31"/>
      <c r="G131" s="31">
        <v>23047.757000000001</v>
      </c>
      <c r="H131" s="31">
        <v>23295.195</v>
      </c>
      <c r="I131" s="31">
        <v>23041.594000000001</v>
      </c>
      <c r="J131" s="31">
        <v>25326.684000000001</v>
      </c>
      <c r="K131" s="31">
        <v>27952.102999999999</v>
      </c>
      <c r="L131" s="31">
        <v>34583.650999999998</v>
      </c>
      <c r="M131" s="31">
        <v>41599.165999999997</v>
      </c>
      <c r="N131" s="31">
        <v>37974.243999999999</v>
      </c>
    </row>
    <row r="132" spans="2:14" ht="30" customHeight="1">
      <c r="B132" s="30" t="s">
        <v>476</v>
      </c>
      <c r="C132" s="30" t="s">
        <v>387</v>
      </c>
      <c r="D132" s="30" t="s">
        <v>478</v>
      </c>
      <c r="E132" s="30" t="s">
        <v>28</v>
      </c>
      <c r="F132" s="31"/>
      <c r="G132" s="31">
        <v>20559.984</v>
      </c>
      <c r="H132" s="31">
        <v>21680.671999999999</v>
      </c>
      <c r="I132" s="31">
        <v>21567.977999999999</v>
      </c>
      <c r="J132" s="31">
        <v>24055.300999999999</v>
      </c>
      <c r="K132" s="31">
        <v>26478.205000000002</v>
      </c>
      <c r="L132" s="31">
        <v>32123.578000000001</v>
      </c>
      <c r="M132" s="31">
        <v>39112.025999999998</v>
      </c>
      <c r="N132" s="31">
        <v>37308.101999999999</v>
      </c>
    </row>
    <row r="133" spans="2:14" ht="24.75" customHeight="1">
      <c r="B133" s="30" t="s">
        <v>476</v>
      </c>
      <c r="C133" s="30" t="s">
        <v>388</v>
      </c>
      <c r="D133" s="30" t="s">
        <v>478</v>
      </c>
      <c r="E133" s="30" t="s">
        <v>28</v>
      </c>
      <c r="F133" s="31"/>
      <c r="G133" s="31">
        <v>131378.97399999999</v>
      </c>
      <c r="H133" s="31">
        <v>133140.88699999999</v>
      </c>
      <c r="I133" s="31">
        <v>133258.60200000001</v>
      </c>
      <c r="J133" s="31">
        <v>144119.60500000001</v>
      </c>
      <c r="K133" s="31">
        <v>157353.25399999999</v>
      </c>
      <c r="L133" s="31">
        <v>190974.954</v>
      </c>
      <c r="M133" s="31">
        <v>231123.59700000001</v>
      </c>
      <c r="N133" s="31">
        <v>219284.568</v>
      </c>
    </row>
    <row r="134" spans="2:14" ht="29.25" customHeight="1">
      <c r="B134" s="30" t="s">
        <v>476</v>
      </c>
      <c r="C134" s="30" t="s">
        <v>383</v>
      </c>
      <c r="D134" s="30" t="s">
        <v>479</v>
      </c>
      <c r="E134" s="30" t="s">
        <v>28</v>
      </c>
      <c r="F134" s="31"/>
      <c r="G134" s="31">
        <v>-46255.264000000003</v>
      </c>
      <c r="H134" s="31">
        <v>-49583.764000000003</v>
      </c>
      <c r="I134" s="31">
        <v>-48124.665999999997</v>
      </c>
      <c r="J134" s="31">
        <v>-51821.008999999998</v>
      </c>
      <c r="K134" s="31">
        <v>-64540.665999999997</v>
      </c>
      <c r="L134" s="31">
        <v>-78996.274999999994</v>
      </c>
      <c r="M134" s="31">
        <v>-82833.247000000003</v>
      </c>
      <c r="N134" s="31">
        <v>-62254.883000000002</v>
      </c>
    </row>
    <row r="135" spans="2:14" ht="27.75" customHeight="1">
      <c r="B135" s="30" t="s">
        <v>476</v>
      </c>
      <c r="C135" s="30" t="s">
        <v>385</v>
      </c>
      <c r="D135" s="30" t="s">
        <v>479</v>
      </c>
      <c r="E135" s="30" t="s">
        <v>28</v>
      </c>
      <c r="F135" s="31"/>
      <c r="G135" s="31">
        <v>-15138.085999999999</v>
      </c>
      <c r="H135" s="31">
        <v>-16227.414000000001</v>
      </c>
      <c r="I135" s="31">
        <v>-15749.89</v>
      </c>
      <c r="J135" s="31">
        <v>-16959.601999999999</v>
      </c>
      <c r="K135" s="31">
        <v>-21122.400000000001</v>
      </c>
      <c r="L135" s="31">
        <v>-25831.702000000001</v>
      </c>
      <c r="M135" s="31">
        <v>-27109.062999999998</v>
      </c>
      <c r="N135" s="31">
        <v>-32621.387999999999</v>
      </c>
    </row>
    <row r="136" spans="2:14" ht="26.25" customHeight="1">
      <c r="B136" s="30" t="s">
        <v>476</v>
      </c>
      <c r="C136" s="30" t="s">
        <v>386</v>
      </c>
      <c r="D136" s="30" t="s">
        <v>479</v>
      </c>
      <c r="E136" s="30" t="s">
        <v>28</v>
      </c>
      <c r="F136" s="31"/>
      <c r="G136" s="31">
        <v>-15138.085999999999</v>
      </c>
      <c r="H136" s="31">
        <v>-16227.414000000001</v>
      </c>
      <c r="I136" s="31">
        <v>-15749.891</v>
      </c>
      <c r="J136" s="31">
        <v>-16959.601999999999</v>
      </c>
      <c r="K136" s="31">
        <v>-21122.400000000001</v>
      </c>
      <c r="L136" s="31">
        <v>-25831.702000000001</v>
      </c>
      <c r="M136" s="31">
        <v>-27109.062999999998</v>
      </c>
      <c r="N136" s="31">
        <v>-23692.763999999999</v>
      </c>
    </row>
    <row r="137" spans="2:14" ht="24.75" customHeight="1">
      <c r="B137" s="30" t="s">
        <v>476</v>
      </c>
      <c r="C137" s="30" t="s">
        <v>387</v>
      </c>
      <c r="D137" s="30" t="s">
        <v>479</v>
      </c>
      <c r="E137" s="30" t="s">
        <v>28</v>
      </c>
      <c r="F137" s="31"/>
      <c r="G137" s="31">
        <v>-7569.0429999999997</v>
      </c>
      <c r="H137" s="31">
        <v>-8113.7039999999997</v>
      </c>
      <c r="I137" s="31">
        <v>-7874.9449999999997</v>
      </c>
      <c r="J137" s="31">
        <v>-8479.8009999999995</v>
      </c>
      <c r="K137" s="31">
        <v>-10561.200999999999</v>
      </c>
      <c r="L137" s="31">
        <v>-12915.851000000001</v>
      </c>
      <c r="M137" s="31">
        <v>-13554.531000000001</v>
      </c>
      <c r="N137" s="31">
        <v>-26094.57</v>
      </c>
    </row>
    <row r="138" spans="2:14" ht="27.75" customHeight="1">
      <c r="B138" s="30" t="s">
        <v>476</v>
      </c>
      <c r="C138" s="30" t="s">
        <v>388</v>
      </c>
      <c r="D138" s="30" t="s">
        <v>479</v>
      </c>
      <c r="E138" s="30" t="s">
        <v>28</v>
      </c>
      <c r="F138" s="31"/>
      <c r="G138" s="31">
        <v>-84100.479000000007</v>
      </c>
      <c r="H138" s="31">
        <v>-90152.296000000002</v>
      </c>
      <c r="I138" s="31">
        <v>-87499.392000000007</v>
      </c>
      <c r="J138" s="31">
        <v>-94220.013999999996</v>
      </c>
      <c r="K138" s="31">
        <v>-117346.667</v>
      </c>
      <c r="L138" s="31">
        <v>-143575.53</v>
      </c>
      <c r="M138" s="31">
        <v>-150605.90400000001</v>
      </c>
      <c r="N138" s="31">
        <v>-144663.60500000001</v>
      </c>
    </row>
    <row r="139" spans="2:14" ht="27.75" customHeight="1">
      <c r="B139" s="30" t="s">
        <v>476</v>
      </c>
      <c r="C139" s="30" t="s">
        <v>383</v>
      </c>
      <c r="D139" s="30" t="s">
        <v>480</v>
      </c>
      <c r="E139" s="30" t="s">
        <v>28</v>
      </c>
      <c r="F139" s="31"/>
      <c r="G139" s="31">
        <v>-19955.457999999999</v>
      </c>
      <c r="H139" s="31">
        <v>-16644.859</v>
      </c>
      <c r="I139" s="31">
        <v>-19500.981</v>
      </c>
      <c r="J139" s="31">
        <v>-14887.664000000001</v>
      </c>
      <c r="K139" s="31">
        <v>-13221.210999999999</v>
      </c>
      <c r="L139" s="31">
        <v>-13452.182000000001</v>
      </c>
      <c r="M139" s="31">
        <v>-17474.344000000001</v>
      </c>
      <c r="N139" s="31">
        <v>-14411.617</v>
      </c>
    </row>
    <row r="140" spans="2:14" ht="35.25" customHeight="1">
      <c r="B140" s="30" t="s">
        <v>476</v>
      </c>
      <c r="C140" s="30" t="s">
        <v>385</v>
      </c>
      <c r="D140" s="30" t="s">
        <v>480</v>
      </c>
      <c r="E140" s="30" t="s">
        <v>28</v>
      </c>
      <c r="F140" s="31"/>
      <c r="G140" s="31">
        <v>-11487.066000000001</v>
      </c>
      <c r="H140" s="31">
        <v>-11857.081</v>
      </c>
      <c r="I140" s="31">
        <v>-14048.119000000001</v>
      </c>
      <c r="J140" s="31">
        <v>-12254.334999999999</v>
      </c>
      <c r="K140" s="31">
        <v>-11094.541999999999</v>
      </c>
      <c r="L140" s="31">
        <v>-11988.377</v>
      </c>
      <c r="M140" s="31">
        <v>-14493.666999999999</v>
      </c>
      <c r="N140" s="31">
        <v>-14393.234</v>
      </c>
    </row>
    <row r="141" spans="2:14" ht="27.75" customHeight="1">
      <c r="B141" s="30" t="s">
        <v>476</v>
      </c>
      <c r="C141" s="30" t="s">
        <v>386</v>
      </c>
      <c r="D141" s="30" t="s">
        <v>480</v>
      </c>
      <c r="E141" s="30" t="s">
        <v>28</v>
      </c>
      <c r="F141" s="31"/>
      <c r="G141" s="31">
        <v>-6292.8519999999999</v>
      </c>
      <c r="H141" s="31">
        <v>-5732.7219999999998</v>
      </c>
      <c r="I141" s="31">
        <v>-6318.723</v>
      </c>
      <c r="J141" s="31">
        <v>-5285.4849999999997</v>
      </c>
      <c r="K141" s="31">
        <v>-4509.665</v>
      </c>
      <c r="L141" s="31">
        <v>-4564.4359999999997</v>
      </c>
      <c r="M141" s="31">
        <v>-5774.6279999999997</v>
      </c>
      <c r="N141" s="31">
        <v>-5048.6369999999997</v>
      </c>
    </row>
    <row r="142" spans="2:14" ht="27" customHeight="1">
      <c r="B142" s="30" t="s">
        <v>476</v>
      </c>
      <c r="C142" s="30" t="s">
        <v>387</v>
      </c>
      <c r="D142" s="30" t="s">
        <v>480</v>
      </c>
      <c r="E142" s="30" t="s">
        <v>28</v>
      </c>
      <c r="F142" s="31"/>
      <c r="G142" s="31">
        <v>-6805.2629999999999</v>
      </c>
      <c r="H142" s="31">
        <v>-6808.7640000000001</v>
      </c>
      <c r="I142" s="31">
        <v>-7966.6480000000001</v>
      </c>
      <c r="J142" s="31">
        <v>-7433.2809999999999</v>
      </c>
      <c r="K142" s="31">
        <v>-7330.0910000000003</v>
      </c>
      <c r="L142" s="31">
        <v>-7276.8220000000001</v>
      </c>
      <c r="M142" s="31">
        <v>-8535.2999999999993</v>
      </c>
      <c r="N142" s="31">
        <v>-8567.9490000000005</v>
      </c>
    </row>
    <row r="143" spans="2:14" ht="24" customHeight="1">
      <c r="B143" s="30" t="s">
        <v>476</v>
      </c>
      <c r="C143" s="30" t="s">
        <v>388</v>
      </c>
      <c r="D143" s="30" t="s">
        <v>480</v>
      </c>
      <c r="E143" s="30" t="s">
        <v>28</v>
      </c>
      <c r="F143" s="31"/>
      <c r="G143" s="31">
        <v>-44540.637999999999</v>
      </c>
      <c r="H143" s="31">
        <v>-41043.425999999999</v>
      </c>
      <c r="I143" s="31">
        <v>-47834.470999999998</v>
      </c>
      <c r="J143" s="31">
        <v>-39860.764999999999</v>
      </c>
      <c r="K143" s="31">
        <v>-36155.508999999998</v>
      </c>
      <c r="L143" s="31">
        <v>-37281.817000000003</v>
      </c>
      <c r="M143" s="31">
        <v>-46277.938999999998</v>
      </c>
      <c r="N143" s="31">
        <v>-42421.436999999998</v>
      </c>
    </row>
    <row r="144" spans="2:14" ht="26.25" customHeight="1">
      <c r="B144" s="30" t="s">
        <v>476</v>
      </c>
      <c r="C144" s="30" t="s">
        <v>383</v>
      </c>
      <c r="D144" s="30" t="s">
        <v>481</v>
      </c>
      <c r="E144" s="30" t="s">
        <v>28</v>
      </c>
      <c r="F144" s="31"/>
      <c r="G144" s="31">
        <v>3904.6039999999998</v>
      </c>
      <c r="H144" s="31">
        <v>3290.0010000000002</v>
      </c>
      <c r="I144" s="31">
        <v>2927.1060000000002</v>
      </c>
      <c r="J144" s="31">
        <v>2826.0079999999998</v>
      </c>
      <c r="K144" s="31">
        <v>6441.7939999999999</v>
      </c>
      <c r="L144" s="31">
        <v>4252.1379999999999</v>
      </c>
      <c r="M144" s="31">
        <v>3443.8240000000001</v>
      </c>
      <c r="N144" s="31">
        <v>2684.116</v>
      </c>
    </row>
    <row r="145" spans="2:14" ht="25.5" customHeight="1">
      <c r="B145" s="30" t="s">
        <v>476</v>
      </c>
      <c r="C145" s="30" t="s">
        <v>385</v>
      </c>
      <c r="D145" s="30" t="s">
        <v>481</v>
      </c>
      <c r="E145" s="30" t="s">
        <v>28</v>
      </c>
      <c r="F145" s="31"/>
      <c r="G145" s="31">
        <v>2473.2629999999999</v>
      </c>
      <c r="H145" s="31">
        <v>2427.3409999999999</v>
      </c>
      <c r="I145" s="31">
        <v>2016.5229999999999</v>
      </c>
      <c r="J145" s="31">
        <v>1771.6569999999999</v>
      </c>
      <c r="K145" s="31">
        <v>2798.1080000000002</v>
      </c>
      <c r="L145" s="31">
        <v>2062.7109999999998</v>
      </c>
      <c r="M145" s="31">
        <v>1634.249</v>
      </c>
      <c r="N145" s="31">
        <v>1793.3620000000001</v>
      </c>
    </row>
    <row r="146" spans="2:14" ht="30" customHeight="1">
      <c r="B146" s="30" t="s">
        <v>476</v>
      </c>
      <c r="C146" s="30" t="s">
        <v>386</v>
      </c>
      <c r="D146" s="30" t="s">
        <v>481</v>
      </c>
      <c r="E146" s="30" t="s">
        <v>28</v>
      </c>
      <c r="F146" s="31"/>
      <c r="G146" s="31">
        <v>980.51199999999994</v>
      </c>
      <c r="H146" s="31">
        <v>1100.8440000000001</v>
      </c>
      <c r="I146" s="31">
        <v>979.56299999999999</v>
      </c>
      <c r="J146" s="31">
        <v>1027.6030000000001</v>
      </c>
      <c r="K146" s="31">
        <v>2261.7330000000002</v>
      </c>
      <c r="L146" s="31">
        <v>1418.4960000000001</v>
      </c>
      <c r="M146" s="31">
        <v>995.58799999999997</v>
      </c>
      <c r="N146" s="31">
        <v>1036.3</v>
      </c>
    </row>
    <row r="147" spans="2:14" ht="27" customHeight="1">
      <c r="B147" s="30" t="s">
        <v>476</v>
      </c>
      <c r="C147" s="30" t="s">
        <v>387</v>
      </c>
      <c r="D147" s="30" t="s">
        <v>481</v>
      </c>
      <c r="E147" s="30" t="s">
        <v>28</v>
      </c>
      <c r="F147" s="31"/>
      <c r="G147" s="31">
        <v>1819.557</v>
      </c>
      <c r="H147" s="31">
        <v>1767.605</v>
      </c>
      <c r="I147" s="31">
        <v>1464.2950000000001</v>
      </c>
      <c r="J147" s="31">
        <v>1420.8240000000001</v>
      </c>
      <c r="K147" s="31">
        <v>1794.2070000000001</v>
      </c>
      <c r="L147" s="31">
        <v>1362.4739999999999</v>
      </c>
      <c r="M147" s="31">
        <v>1175.8599999999999</v>
      </c>
      <c r="N147" s="31">
        <v>1752.7809999999999</v>
      </c>
    </row>
    <row r="148" spans="2:14" ht="24" customHeight="1">
      <c r="B148" s="30" t="s">
        <v>476</v>
      </c>
      <c r="C148" s="30" t="s">
        <v>388</v>
      </c>
      <c r="D148" s="30" t="s">
        <v>481</v>
      </c>
      <c r="E148" s="30" t="s">
        <v>28</v>
      </c>
      <c r="F148" s="31"/>
      <c r="G148" s="31">
        <v>9177.9359999999997</v>
      </c>
      <c r="H148" s="31">
        <v>8585.7909999999993</v>
      </c>
      <c r="I148" s="31">
        <v>7387.4870000000001</v>
      </c>
      <c r="J148" s="31">
        <v>7046.0919999999996</v>
      </c>
      <c r="K148" s="31">
        <v>13295.842000000001</v>
      </c>
      <c r="L148" s="31">
        <v>9095.8189999999995</v>
      </c>
      <c r="M148" s="31">
        <v>7249.5209999999997</v>
      </c>
      <c r="N148" s="31">
        <v>7266.5590000000002</v>
      </c>
    </row>
    <row r="149" spans="2:14" ht="24.75" customHeight="1">
      <c r="B149" s="30" t="s">
        <v>476</v>
      </c>
      <c r="C149" s="30" t="s">
        <v>383</v>
      </c>
      <c r="D149" s="30" t="s">
        <v>482</v>
      </c>
      <c r="E149" s="30" t="s">
        <v>28</v>
      </c>
      <c r="F149" s="31"/>
      <c r="G149" s="31">
        <v>1604.7360000000001</v>
      </c>
      <c r="H149" s="31">
        <v>1150.1210000000001</v>
      </c>
      <c r="I149" s="31">
        <v>-615.88199999999995</v>
      </c>
      <c r="J149" s="31">
        <v>3939.7849999999999</v>
      </c>
      <c r="K149" s="31">
        <v>1286.1469999999999</v>
      </c>
      <c r="L149" s="31">
        <v>-923.42499999999995</v>
      </c>
      <c r="M149" s="31">
        <v>8715.2209999999995</v>
      </c>
      <c r="N149" s="31">
        <v>27781.366000000002</v>
      </c>
    </row>
    <row r="150" spans="2:14" ht="24" customHeight="1">
      <c r="B150" s="30" t="s">
        <v>476</v>
      </c>
      <c r="C150" s="30" t="s">
        <v>385</v>
      </c>
      <c r="D150" s="30" t="s">
        <v>482</v>
      </c>
      <c r="E150" s="30" t="s">
        <v>28</v>
      </c>
      <c r="F150" s="31"/>
      <c r="G150" s="31">
        <v>-291.50900000000001</v>
      </c>
      <c r="H150" s="31">
        <v>-1580.877</v>
      </c>
      <c r="I150" s="31">
        <v>-3215.1149999999998</v>
      </c>
      <c r="J150" s="31">
        <v>-527.11</v>
      </c>
      <c r="K150" s="31">
        <v>897.88199999999995</v>
      </c>
      <c r="L150" s="31">
        <v>1237.463</v>
      </c>
      <c r="M150" s="31">
        <v>4864.9359999999997</v>
      </c>
      <c r="N150" s="31">
        <v>-2982.788</v>
      </c>
    </row>
    <row r="151" spans="2:14" ht="24" customHeight="1">
      <c r="B151" s="30" t="s">
        <v>476</v>
      </c>
      <c r="C151" s="30" t="s">
        <v>386</v>
      </c>
      <c r="D151" s="30" t="s">
        <v>482</v>
      </c>
      <c r="E151" s="30" t="s">
        <v>28</v>
      </c>
      <c r="F151" s="31"/>
      <c r="G151" s="31">
        <v>2597.3310000000001</v>
      </c>
      <c r="H151" s="31">
        <v>2435.9029999999998</v>
      </c>
      <c r="I151" s="31">
        <v>1952.5429999999999</v>
      </c>
      <c r="J151" s="31">
        <v>4109.2</v>
      </c>
      <c r="K151" s="31">
        <v>4581.7709999999997</v>
      </c>
      <c r="L151" s="31">
        <v>5606.009</v>
      </c>
      <c r="M151" s="31">
        <v>9711.0630000000001</v>
      </c>
      <c r="N151" s="31">
        <v>10269.143</v>
      </c>
    </row>
    <row r="152" spans="2:14" ht="24.75" customHeight="1">
      <c r="B152" s="30" t="s">
        <v>476</v>
      </c>
      <c r="C152" s="30" t="s">
        <v>387</v>
      </c>
      <c r="D152" s="30" t="s">
        <v>482</v>
      </c>
      <c r="E152" s="30" t="s">
        <v>28</v>
      </c>
      <c r="F152" s="31"/>
      <c r="G152" s="31">
        <v>8005.2349999999997</v>
      </c>
      <c r="H152" s="31">
        <v>8525.8089999999993</v>
      </c>
      <c r="I152" s="31">
        <v>7190.68</v>
      </c>
      <c r="J152" s="31">
        <v>9563.0429999999997</v>
      </c>
      <c r="K152" s="31">
        <v>10381.120000000001</v>
      </c>
      <c r="L152" s="31">
        <v>13293.379000000001</v>
      </c>
      <c r="M152" s="31">
        <v>18198.055</v>
      </c>
      <c r="N152" s="31">
        <v>4398.3639999999996</v>
      </c>
    </row>
    <row r="153" spans="2:14" ht="27.75" customHeight="1">
      <c r="B153" s="30" t="s">
        <v>476</v>
      </c>
      <c r="C153" s="30" t="s">
        <v>388</v>
      </c>
      <c r="D153" s="30" t="s">
        <v>482</v>
      </c>
      <c r="E153" s="30" t="s">
        <v>28</v>
      </c>
      <c r="F153" s="31"/>
      <c r="G153" s="31">
        <v>11915.793</v>
      </c>
      <c r="H153" s="31">
        <v>10530.956</v>
      </c>
      <c r="I153" s="31">
        <v>5312.2259999999997</v>
      </c>
      <c r="J153" s="31">
        <v>17084.918000000001</v>
      </c>
      <c r="K153" s="31">
        <v>17146.919999999998</v>
      </c>
      <c r="L153" s="31">
        <v>19213.425999999999</v>
      </c>
      <c r="M153" s="31">
        <v>41489.275000000001</v>
      </c>
      <c r="N153" s="31">
        <v>39466.084999999999</v>
      </c>
    </row>
    <row r="154" spans="2:14" ht="26.25" customHeight="1">
      <c r="B154" s="30" t="s">
        <v>476</v>
      </c>
      <c r="C154" s="30" t="s">
        <v>383</v>
      </c>
      <c r="D154" s="30" t="s">
        <v>483</v>
      </c>
      <c r="E154" s="30" t="s">
        <v>28</v>
      </c>
      <c r="F154" s="31"/>
      <c r="G154" s="31">
        <v>131112.88699999999</v>
      </c>
      <c r="H154" s="31">
        <v>123654.06600000001</v>
      </c>
      <c r="I154" s="31">
        <v>107553.023</v>
      </c>
      <c r="J154" s="31">
        <v>108288.77</v>
      </c>
      <c r="K154" s="31">
        <v>101909.111</v>
      </c>
      <c r="L154" s="31">
        <v>117250.433</v>
      </c>
      <c r="M154" s="31">
        <v>120001.077</v>
      </c>
      <c r="N154" s="31">
        <v>113129.716</v>
      </c>
    </row>
    <row r="155" spans="2:14" ht="24" customHeight="1">
      <c r="B155" s="30" t="s">
        <v>476</v>
      </c>
      <c r="C155" s="30" t="s">
        <v>385</v>
      </c>
      <c r="D155" s="30" t="s">
        <v>483</v>
      </c>
      <c r="E155" s="30" t="s">
        <v>28</v>
      </c>
      <c r="F155" s="31"/>
      <c r="G155" s="31">
        <v>103450.227</v>
      </c>
      <c r="H155" s="31">
        <v>107615.641</v>
      </c>
      <c r="I155" s="31">
        <v>112892.716</v>
      </c>
      <c r="J155" s="31">
        <v>114832.68</v>
      </c>
      <c r="K155" s="31">
        <v>121758.465</v>
      </c>
      <c r="L155" s="31">
        <v>129687.522</v>
      </c>
      <c r="M155" s="31">
        <v>127906.31299999999</v>
      </c>
      <c r="N155" s="31">
        <v>139048.429</v>
      </c>
    </row>
    <row r="156" spans="2:14" ht="27.75" customHeight="1">
      <c r="B156" s="30" t="s">
        <v>476</v>
      </c>
      <c r="C156" s="30" t="s">
        <v>386</v>
      </c>
      <c r="D156" s="30" t="s">
        <v>483</v>
      </c>
      <c r="E156" s="30" t="s">
        <v>28</v>
      </c>
      <c r="F156" s="31"/>
      <c r="G156" s="31">
        <v>39354.572999999997</v>
      </c>
      <c r="H156" s="31">
        <v>40193.315999999999</v>
      </c>
      <c r="I156" s="31">
        <v>46195.415000000001</v>
      </c>
      <c r="J156" s="31">
        <v>44230.432999999997</v>
      </c>
      <c r="K156" s="31">
        <v>42677.453999999998</v>
      </c>
      <c r="L156" s="31">
        <v>43895.302000000003</v>
      </c>
      <c r="M156" s="31">
        <v>41483.777000000002</v>
      </c>
      <c r="N156" s="31">
        <v>39682.569000000003</v>
      </c>
    </row>
    <row r="157" spans="2:14" ht="27" customHeight="1">
      <c r="B157" s="30" t="s">
        <v>476</v>
      </c>
      <c r="C157" s="30" t="s">
        <v>387</v>
      </c>
      <c r="D157" s="30" t="s">
        <v>483</v>
      </c>
      <c r="E157" s="30" t="s">
        <v>28</v>
      </c>
      <c r="F157" s="31"/>
      <c r="G157" s="31">
        <v>58351.656000000003</v>
      </c>
      <c r="H157" s="31">
        <v>56541.902999999998</v>
      </c>
      <c r="I157" s="31">
        <v>58626.205000000002</v>
      </c>
      <c r="J157" s="31">
        <v>63854.781000000003</v>
      </c>
      <c r="K157" s="31">
        <v>64124.154999999999</v>
      </c>
      <c r="L157" s="31">
        <v>62892.014999999999</v>
      </c>
      <c r="M157" s="31">
        <v>68695.032000000007</v>
      </c>
      <c r="N157" s="31">
        <v>97178.78</v>
      </c>
    </row>
    <row r="158" spans="2:14" ht="31.5" customHeight="1">
      <c r="B158" s="30" t="s">
        <v>476</v>
      </c>
      <c r="C158" s="30" t="s">
        <v>388</v>
      </c>
      <c r="D158" s="30" t="s">
        <v>483</v>
      </c>
      <c r="E158" s="30" t="s">
        <v>28</v>
      </c>
      <c r="F158" s="31"/>
      <c r="G158" s="31">
        <v>332269.34299999999</v>
      </c>
      <c r="H158" s="31">
        <v>328004.92599999998</v>
      </c>
      <c r="I158" s="31">
        <v>325267.359</v>
      </c>
      <c r="J158" s="31">
        <v>331206.66399999999</v>
      </c>
      <c r="K158" s="31">
        <v>330469.185</v>
      </c>
      <c r="L158" s="31">
        <v>353725.272</v>
      </c>
      <c r="M158" s="31">
        <v>358086.19900000002</v>
      </c>
      <c r="N158" s="31">
        <v>389039.49099999998</v>
      </c>
    </row>
    <row r="159" spans="2:14" ht="28.5" customHeight="1">
      <c r="B159" s="30" t="s">
        <v>476</v>
      </c>
      <c r="C159" s="30" t="s">
        <v>383</v>
      </c>
      <c r="D159" s="30" t="s">
        <v>484</v>
      </c>
      <c r="E159" s="30" t="s">
        <v>28</v>
      </c>
      <c r="F159" s="31"/>
      <c r="G159" s="31">
        <v>156465.44699999999</v>
      </c>
      <c r="H159" s="31">
        <v>155763.81700000001</v>
      </c>
      <c r="I159" s="31">
        <v>136249.76800000001</v>
      </c>
      <c r="J159" s="31">
        <v>135097.85399999999</v>
      </c>
      <c r="K159" s="31">
        <v>130951.185</v>
      </c>
      <c r="L159" s="31">
        <v>142034.93900000001</v>
      </c>
      <c r="M159" s="31">
        <v>122299.867</v>
      </c>
      <c r="N159" s="31">
        <v>96594.012000000002</v>
      </c>
    </row>
    <row r="160" spans="2:14" ht="27" customHeight="1">
      <c r="B160" s="30" t="s">
        <v>476</v>
      </c>
      <c r="C160" s="30" t="s">
        <v>385</v>
      </c>
      <c r="D160" s="30" t="s">
        <v>484</v>
      </c>
      <c r="E160" s="30" t="s">
        <v>28</v>
      </c>
      <c r="F160" s="31"/>
      <c r="G160" s="31">
        <v>48341.409</v>
      </c>
      <c r="H160" s="31">
        <v>51638.192000000003</v>
      </c>
      <c r="I160" s="31">
        <v>58541.684999999998</v>
      </c>
      <c r="J160" s="31">
        <v>60340.517999999996</v>
      </c>
      <c r="K160" s="31">
        <v>59556.542999999998</v>
      </c>
      <c r="L160" s="31">
        <v>66742.879000000001</v>
      </c>
      <c r="M160" s="31">
        <v>62117.695</v>
      </c>
      <c r="N160" s="31">
        <v>72665.569000000003</v>
      </c>
    </row>
    <row r="161" spans="2:14" ht="26.25" customHeight="1">
      <c r="B161" s="30" t="s">
        <v>476</v>
      </c>
      <c r="C161" s="30" t="s">
        <v>386</v>
      </c>
      <c r="D161" s="30" t="s">
        <v>484</v>
      </c>
      <c r="E161" s="30" t="s">
        <v>28</v>
      </c>
      <c r="F161" s="31"/>
      <c r="G161" s="31">
        <v>38323.781000000003</v>
      </c>
      <c r="H161" s="31">
        <v>38689.644999999997</v>
      </c>
      <c r="I161" s="31">
        <v>46830.760999999999</v>
      </c>
      <c r="J161" s="31">
        <v>46901.821000000004</v>
      </c>
      <c r="K161" s="31">
        <v>46727.690999999999</v>
      </c>
      <c r="L161" s="31">
        <v>50675.66</v>
      </c>
      <c r="M161" s="31">
        <v>45423.845000000001</v>
      </c>
      <c r="N161" s="31">
        <v>46350.885999999999</v>
      </c>
    </row>
    <row r="162" spans="2:14" ht="30" customHeight="1">
      <c r="B162" s="30" t="s">
        <v>476</v>
      </c>
      <c r="C162" s="30" t="s">
        <v>387</v>
      </c>
      <c r="D162" s="30" t="s">
        <v>484</v>
      </c>
      <c r="E162" s="30" t="s">
        <v>28</v>
      </c>
      <c r="F162" s="31"/>
      <c r="G162" s="31">
        <v>28516.282999999999</v>
      </c>
      <c r="H162" s="31">
        <v>25682.41</v>
      </c>
      <c r="I162" s="31">
        <v>28748.346000000001</v>
      </c>
      <c r="J162" s="31">
        <v>31692.53</v>
      </c>
      <c r="K162" s="31">
        <v>33600.298000000003</v>
      </c>
      <c r="L162" s="31">
        <v>37428.953000000001</v>
      </c>
      <c r="M162" s="31">
        <v>40930.629999999997</v>
      </c>
      <c r="N162" s="31">
        <v>64035.375</v>
      </c>
    </row>
    <row r="163" spans="2:14" ht="30.75" customHeight="1">
      <c r="B163" s="30" t="s">
        <v>476</v>
      </c>
      <c r="C163" s="30" t="s">
        <v>388</v>
      </c>
      <c r="D163" s="30" t="s">
        <v>484</v>
      </c>
      <c r="E163" s="30" t="s">
        <v>28</v>
      </c>
      <c r="F163" s="31"/>
      <c r="G163" s="31">
        <v>271646.92</v>
      </c>
      <c r="H163" s="31">
        <v>271774.06400000001</v>
      </c>
      <c r="I163" s="31">
        <v>270370.56</v>
      </c>
      <c r="J163" s="31">
        <v>274032.723</v>
      </c>
      <c r="K163" s="31">
        <v>270835.717</v>
      </c>
      <c r="L163" s="31">
        <v>296882.43099999998</v>
      </c>
      <c r="M163" s="31">
        <v>270772.03700000001</v>
      </c>
      <c r="N163" s="31">
        <v>279645.842</v>
      </c>
    </row>
    <row r="164" spans="2:14" ht="25.5" customHeight="1">
      <c r="B164" s="30" t="s">
        <v>476</v>
      </c>
      <c r="C164" s="30" t="s">
        <v>383</v>
      </c>
      <c r="D164" s="30" t="s">
        <v>485</v>
      </c>
      <c r="E164" s="30" t="s">
        <v>28</v>
      </c>
      <c r="F164" s="31"/>
      <c r="G164" s="31">
        <v>13748.45</v>
      </c>
      <c r="H164" s="31">
        <v>7493.0169999999998</v>
      </c>
      <c r="I164" s="31">
        <v>9390.3799999999992</v>
      </c>
      <c r="J164" s="31">
        <v>10221.545</v>
      </c>
      <c r="K164" s="31">
        <v>6716.21</v>
      </c>
      <c r="L164" s="31">
        <v>7564.2709999999997</v>
      </c>
      <c r="M164" s="31">
        <v>13729.114</v>
      </c>
      <c r="N164" s="31">
        <v>16147.297</v>
      </c>
    </row>
    <row r="165" spans="2:14" ht="26.25" customHeight="1">
      <c r="B165" s="30" t="s">
        <v>476</v>
      </c>
      <c r="C165" s="30" t="s">
        <v>385</v>
      </c>
      <c r="D165" s="30" t="s">
        <v>485</v>
      </c>
      <c r="E165" s="30" t="s">
        <v>28</v>
      </c>
      <c r="F165" s="31"/>
      <c r="G165" s="31">
        <v>7873.8050000000003</v>
      </c>
      <c r="H165" s="31">
        <v>4890.7979999999998</v>
      </c>
      <c r="I165" s="31">
        <v>3273.2150000000001</v>
      </c>
      <c r="J165" s="31">
        <v>3580.12</v>
      </c>
      <c r="K165" s="31">
        <v>2366.3629999999998</v>
      </c>
      <c r="L165" s="31">
        <v>2643.91</v>
      </c>
      <c r="M165" s="31">
        <v>4837.2619999999997</v>
      </c>
      <c r="N165" s="31">
        <v>5689.2749999999996</v>
      </c>
    </row>
    <row r="166" spans="2:14" ht="28.5" customHeight="1">
      <c r="B166" s="30" t="s">
        <v>476</v>
      </c>
      <c r="C166" s="30" t="s">
        <v>386</v>
      </c>
      <c r="D166" s="30" t="s">
        <v>485</v>
      </c>
      <c r="E166" s="30" t="s">
        <v>28</v>
      </c>
      <c r="F166" s="31"/>
      <c r="G166" s="31">
        <v>720.04899999999998</v>
      </c>
      <c r="H166" s="31">
        <v>6623.0479999999998</v>
      </c>
      <c r="I166" s="31">
        <v>2873.2150000000001</v>
      </c>
      <c r="J166" s="31">
        <v>3190.047</v>
      </c>
      <c r="K166" s="31">
        <v>2080.931</v>
      </c>
      <c r="L166" s="31">
        <v>2358.4780000000001</v>
      </c>
      <c r="M166" s="31">
        <v>4253.7889999999998</v>
      </c>
      <c r="N166" s="31">
        <v>5003.0320000000002</v>
      </c>
    </row>
    <row r="167" spans="2:14" ht="25.5" customHeight="1">
      <c r="B167" s="30" t="s">
        <v>476</v>
      </c>
      <c r="C167" s="30" t="s">
        <v>387</v>
      </c>
      <c r="D167" s="30" t="s">
        <v>485</v>
      </c>
      <c r="E167" s="30" t="s">
        <v>28</v>
      </c>
      <c r="F167" s="31"/>
      <c r="G167" s="31">
        <v>6326.1189999999997</v>
      </c>
      <c r="H167" s="31">
        <v>2526.489</v>
      </c>
      <c r="I167" s="31">
        <v>1536.6079999999999</v>
      </c>
      <c r="J167" s="31">
        <v>1670.192</v>
      </c>
      <c r="K167" s="31">
        <v>1111.8230000000001</v>
      </c>
      <c r="L167" s="31">
        <v>1250.597</v>
      </c>
      <c r="M167" s="31">
        <v>2272.7620000000002</v>
      </c>
      <c r="N167" s="31">
        <v>2673.076</v>
      </c>
    </row>
    <row r="168" spans="2:14" ht="27" customHeight="1">
      <c r="B168" s="30" t="s">
        <v>476</v>
      </c>
      <c r="C168" s="30" t="s">
        <v>388</v>
      </c>
      <c r="D168" s="30" t="s">
        <v>485</v>
      </c>
      <c r="E168" s="30" t="s">
        <v>28</v>
      </c>
      <c r="F168" s="31"/>
      <c r="G168" s="31">
        <v>28668.422999999999</v>
      </c>
      <c r="H168" s="31">
        <v>21533.351999999999</v>
      </c>
      <c r="I168" s="31">
        <v>17073.418000000001</v>
      </c>
      <c r="J168" s="31">
        <v>18661.903999999999</v>
      </c>
      <c r="K168" s="31">
        <v>12275.326999999999</v>
      </c>
      <c r="L168" s="31">
        <v>13817.255999999999</v>
      </c>
      <c r="M168" s="31">
        <v>25092.927</v>
      </c>
      <c r="N168" s="31">
        <v>29512.68</v>
      </c>
    </row>
    <row r="169" spans="2:14" ht="32.25" customHeight="1">
      <c r="B169" s="30" t="s">
        <v>476</v>
      </c>
      <c r="C169" s="30" t="s">
        <v>383</v>
      </c>
      <c r="D169" s="30" t="s">
        <v>486</v>
      </c>
      <c r="E169" s="30" t="s">
        <v>28</v>
      </c>
      <c r="F169" s="31"/>
      <c r="G169" s="31">
        <v>6950.8860000000004</v>
      </c>
      <c r="H169" s="31">
        <v>7887.6440000000002</v>
      </c>
      <c r="I169" s="31">
        <v>7877.9669999999996</v>
      </c>
      <c r="J169" s="31">
        <v>7996.2049999999999</v>
      </c>
      <c r="K169" s="31">
        <v>7520.4170000000004</v>
      </c>
      <c r="L169" s="31">
        <v>6849.4009999999998</v>
      </c>
      <c r="M169" s="31">
        <v>6877.62</v>
      </c>
      <c r="N169" s="31">
        <v>6809.7</v>
      </c>
    </row>
    <row r="170" spans="2:14" ht="26.25" customHeight="1">
      <c r="B170" s="30" t="s">
        <v>476</v>
      </c>
      <c r="C170" s="30" t="s">
        <v>385</v>
      </c>
      <c r="D170" s="30" t="s">
        <v>486</v>
      </c>
      <c r="E170" s="30" t="s">
        <v>28</v>
      </c>
      <c r="F170" s="31"/>
      <c r="G170" s="31">
        <v>4061.2449999999999</v>
      </c>
      <c r="H170" s="31">
        <v>4519.1210000000001</v>
      </c>
      <c r="I170" s="31">
        <v>4882.1210000000001</v>
      </c>
      <c r="J170" s="31">
        <v>5008.5360000000001</v>
      </c>
      <c r="K170" s="31">
        <v>5021.9120000000003</v>
      </c>
      <c r="L170" s="31">
        <v>4852.7420000000002</v>
      </c>
      <c r="M170" s="31">
        <v>4896.3410000000003</v>
      </c>
      <c r="N170" s="31">
        <v>5212.3059999999996</v>
      </c>
    </row>
    <row r="171" spans="2:14" ht="27" customHeight="1">
      <c r="B171" s="30" t="s">
        <v>476</v>
      </c>
      <c r="C171" s="30" t="s">
        <v>386</v>
      </c>
      <c r="D171" s="30" t="s">
        <v>486</v>
      </c>
      <c r="E171" s="30" t="s">
        <v>28</v>
      </c>
      <c r="F171" s="31"/>
      <c r="G171" s="31">
        <v>2053.5160000000001</v>
      </c>
      <c r="H171" s="31">
        <v>2311.0889999999999</v>
      </c>
      <c r="I171" s="31">
        <v>2390.6219999999998</v>
      </c>
      <c r="J171" s="31">
        <v>2407.7049999999999</v>
      </c>
      <c r="K171" s="31">
        <v>2296.3989999999999</v>
      </c>
      <c r="L171" s="31">
        <v>1983.9760000000001</v>
      </c>
      <c r="M171" s="31">
        <v>1953.105</v>
      </c>
      <c r="N171" s="31">
        <v>2016.4069999999999</v>
      </c>
    </row>
    <row r="172" spans="2:14" ht="24.75" customHeight="1">
      <c r="B172" s="30" t="s">
        <v>476</v>
      </c>
      <c r="C172" s="30" t="s">
        <v>387</v>
      </c>
      <c r="D172" s="30" t="s">
        <v>486</v>
      </c>
      <c r="E172" s="30" t="s">
        <v>28</v>
      </c>
      <c r="F172" s="31"/>
      <c r="G172" s="31">
        <v>2219.3049999999998</v>
      </c>
      <c r="H172" s="31">
        <v>2535.502</v>
      </c>
      <c r="I172" s="31">
        <v>2718.7829999999999</v>
      </c>
      <c r="J172" s="31">
        <v>2805.9969999999998</v>
      </c>
      <c r="K172" s="31">
        <v>2803.26</v>
      </c>
      <c r="L172" s="31">
        <v>2705.203</v>
      </c>
      <c r="M172" s="31">
        <v>2768.433</v>
      </c>
      <c r="N172" s="31">
        <v>3554.5479999999998</v>
      </c>
    </row>
    <row r="173" spans="2:14" ht="28.5" customHeight="1">
      <c r="B173" s="30" t="s">
        <v>476</v>
      </c>
      <c r="C173" s="30" t="s">
        <v>388</v>
      </c>
      <c r="D173" s="30" t="s">
        <v>486</v>
      </c>
      <c r="E173" s="30" t="s">
        <v>28</v>
      </c>
      <c r="F173" s="31"/>
      <c r="G173" s="31">
        <v>15284.953</v>
      </c>
      <c r="H173" s="31">
        <v>17253.356</v>
      </c>
      <c r="I173" s="31">
        <v>17869.492999999999</v>
      </c>
      <c r="J173" s="31">
        <v>18218.442999999999</v>
      </c>
      <c r="K173" s="31">
        <v>17641.988000000001</v>
      </c>
      <c r="L173" s="31">
        <v>16391.322</v>
      </c>
      <c r="M173" s="31">
        <v>16495.499</v>
      </c>
      <c r="N173" s="31">
        <v>17592.960999999999</v>
      </c>
    </row>
    <row r="174" spans="2:14" ht="28.5" customHeight="1">
      <c r="B174" s="30"/>
      <c r="C174" s="30"/>
      <c r="D174" s="30"/>
      <c r="E174" s="30"/>
      <c r="F174" s="31"/>
      <c r="G174" s="31"/>
      <c r="H174" s="31"/>
      <c r="I174" s="31"/>
      <c r="J174" s="31"/>
      <c r="K174" s="31"/>
      <c r="L174" s="31"/>
      <c r="M174" s="31"/>
      <c r="N174" s="31"/>
    </row>
    <row r="175" spans="2:14" ht="28.5" customHeight="1">
      <c r="B175" s="5" t="s">
        <v>487</v>
      </c>
      <c r="C175" s="6" t="s">
        <v>488</v>
      </c>
      <c r="D175" s="6"/>
      <c r="E175" s="6"/>
      <c r="F175" s="16">
        <v>43100</v>
      </c>
      <c r="G175" s="16">
        <f>EOMONTH(F175,12)</f>
        <v>43465</v>
      </c>
      <c r="H175" s="16">
        <f t="shared" ref="H175:N175" si="118">EOMONTH(G175,12)</f>
        <v>43830</v>
      </c>
      <c r="I175" s="16">
        <f t="shared" si="118"/>
        <v>44196</v>
      </c>
      <c r="J175" s="16">
        <f t="shared" si="118"/>
        <v>44561</v>
      </c>
      <c r="K175" s="16">
        <f t="shared" si="118"/>
        <v>44926</v>
      </c>
      <c r="L175" s="16">
        <f t="shared" si="118"/>
        <v>45291</v>
      </c>
      <c r="M175" s="105">
        <f t="shared" si="118"/>
        <v>45657</v>
      </c>
      <c r="N175" s="105">
        <f t="shared" si="118"/>
        <v>46022</v>
      </c>
    </row>
    <row r="176" spans="2:14" ht="24" customHeight="1">
      <c r="B176" s="20"/>
      <c r="C176" s="21"/>
      <c r="D176" s="21"/>
      <c r="E176" s="21"/>
      <c r="F176" s="19" t="s">
        <v>107</v>
      </c>
      <c r="G176" s="19" t="s">
        <v>108</v>
      </c>
      <c r="H176" s="19" t="s">
        <v>109</v>
      </c>
      <c r="I176" s="19" t="s">
        <v>110</v>
      </c>
      <c r="J176" s="19" t="s">
        <v>111</v>
      </c>
      <c r="K176" s="19" t="s">
        <v>112</v>
      </c>
      <c r="L176" s="19" t="s">
        <v>113</v>
      </c>
      <c r="M176" s="106" t="s">
        <v>114</v>
      </c>
      <c r="N176" s="106" t="s">
        <v>115</v>
      </c>
    </row>
    <row r="177" spans="2:14" ht="18" customHeight="1">
      <c r="B177" s="23" t="s">
        <v>487</v>
      </c>
      <c r="C177" s="23" t="s">
        <v>488</v>
      </c>
      <c r="D177" s="23" t="s">
        <v>230</v>
      </c>
      <c r="E177" s="23" t="s">
        <v>28</v>
      </c>
      <c r="F177" s="31">
        <v>262347.609</v>
      </c>
      <c r="G177" s="31">
        <v>273376.88199999998</v>
      </c>
      <c r="H177" s="31">
        <v>277066.96000000002</v>
      </c>
      <c r="I177" s="31">
        <v>276859.90399999998</v>
      </c>
      <c r="J177" s="31">
        <v>277333.01400000002</v>
      </c>
      <c r="K177" s="31">
        <v>272360.57400000002</v>
      </c>
      <c r="L177" s="31">
        <v>267974.46600000001</v>
      </c>
      <c r="M177" s="31">
        <v>275774.83299999998</v>
      </c>
      <c r="N177" s="31">
        <v>287476.70299999998</v>
      </c>
    </row>
    <row r="178" spans="2:14" ht="18" customHeight="1">
      <c r="B178" s="23" t="s">
        <v>487</v>
      </c>
      <c r="C178" s="23" t="s">
        <v>488</v>
      </c>
      <c r="D178" s="23" t="s">
        <v>489</v>
      </c>
      <c r="E178" s="23" t="s">
        <v>28</v>
      </c>
      <c r="F178" s="31">
        <v>868.46299999999997</v>
      </c>
      <c r="G178" s="31">
        <v>813.423</v>
      </c>
      <c r="H178" s="31">
        <v>883.12599999999998</v>
      </c>
      <c r="I178" s="31">
        <v>667.01400000000001</v>
      </c>
      <c r="J178" s="31">
        <v>659.68600000000004</v>
      </c>
      <c r="K178" s="31">
        <v>644.822</v>
      </c>
      <c r="L178" s="31">
        <v>685.69399999999996</v>
      </c>
      <c r="M178" s="31">
        <v>654.08500000000004</v>
      </c>
      <c r="N178" s="31">
        <v>626.48</v>
      </c>
    </row>
    <row r="179" spans="2:14" ht="18" customHeight="1">
      <c r="B179" s="23" t="s">
        <v>487</v>
      </c>
      <c r="C179" s="23" t="s">
        <v>488</v>
      </c>
      <c r="D179" s="23" t="s">
        <v>490</v>
      </c>
      <c r="E179" s="23" t="s">
        <v>28</v>
      </c>
      <c r="F179" s="31">
        <v>2593.4830000000002</v>
      </c>
      <c r="G179" s="31">
        <v>3842.8159999999998</v>
      </c>
      <c r="H179" s="31">
        <v>3491.2629999999999</v>
      </c>
      <c r="I179" s="31">
        <v>2380.739</v>
      </c>
      <c r="J179" s="31">
        <v>1480.4290000000001</v>
      </c>
      <c r="K179" s="31">
        <v>613.31200000000001</v>
      </c>
      <c r="L179" s="31">
        <v>1664.133</v>
      </c>
      <c r="M179" s="31">
        <v>2013.3050000000001</v>
      </c>
      <c r="N179" s="31">
        <v>2052.797</v>
      </c>
    </row>
    <row r="180" spans="2:14" ht="18" customHeight="1">
      <c r="B180" s="23" t="s">
        <v>487</v>
      </c>
      <c r="C180" s="23" t="s">
        <v>488</v>
      </c>
      <c r="D180" s="23" t="s">
        <v>491</v>
      </c>
      <c r="E180" s="23" t="s">
        <v>28</v>
      </c>
      <c r="F180" s="31">
        <v>2531.7820000000002</v>
      </c>
      <c r="G180" s="31">
        <v>2615.1289999999999</v>
      </c>
      <c r="H180" s="31">
        <v>1103.011</v>
      </c>
      <c r="I180" s="31">
        <v>527.32799999999997</v>
      </c>
      <c r="J180" s="31">
        <v>1290.133</v>
      </c>
      <c r="K180" s="31">
        <v>511.65199999999999</v>
      </c>
      <c r="L180" s="31">
        <v>1116.558</v>
      </c>
      <c r="M180" s="31">
        <v>734.20699999999999</v>
      </c>
      <c r="N180" s="31">
        <v>0</v>
      </c>
    </row>
    <row r="181" spans="2:14" ht="18" customHeight="1">
      <c r="B181" s="23" t="s">
        <v>487</v>
      </c>
      <c r="C181" s="23" t="s">
        <v>488</v>
      </c>
      <c r="D181" s="23" t="s">
        <v>492</v>
      </c>
      <c r="E181" s="23" t="s">
        <v>28</v>
      </c>
      <c r="F181" s="31"/>
      <c r="G181" s="31"/>
      <c r="H181" s="31">
        <v>0</v>
      </c>
      <c r="I181" s="31">
        <v>1194.6300000000001</v>
      </c>
      <c r="J181" s="31">
        <v>1092.8340000000001</v>
      </c>
      <c r="K181" s="31">
        <v>939.79300000000001</v>
      </c>
      <c r="L181" s="31">
        <v>862.76199999999994</v>
      </c>
      <c r="M181" s="31">
        <v>663.79700000000003</v>
      </c>
      <c r="N181" s="31">
        <v>656.21100000000001</v>
      </c>
    </row>
    <row r="182" spans="2:14" ht="18" customHeight="1">
      <c r="B182" s="23" t="s">
        <v>487</v>
      </c>
      <c r="C182" s="23" t="s">
        <v>488</v>
      </c>
      <c r="D182" s="23" t="s">
        <v>493</v>
      </c>
      <c r="E182" s="23" t="s">
        <v>28</v>
      </c>
      <c r="F182" s="31">
        <v>1601.509</v>
      </c>
      <c r="G182" s="31">
        <v>1386.758</v>
      </c>
      <c r="H182" s="31">
        <v>1239.626</v>
      </c>
      <c r="I182" s="31">
        <v>1010.8049999999999</v>
      </c>
      <c r="J182" s="31">
        <v>794.98500000000001</v>
      </c>
      <c r="K182" s="31">
        <v>566.50900000000001</v>
      </c>
      <c r="L182" s="31">
        <v>380.10199999999998</v>
      </c>
      <c r="M182" s="31">
        <v>190.46</v>
      </c>
      <c r="N182" s="31">
        <v>10.266999999999999</v>
      </c>
    </row>
    <row r="183" spans="2:14" ht="18" customHeight="1">
      <c r="B183" s="23" t="s">
        <v>487</v>
      </c>
      <c r="C183" s="23" t="s">
        <v>488</v>
      </c>
      <c r="D183" s="23" t="s">
        <v>223</v>
      </c>
      <c r="E183" s="23" t="s">
        <v>28</v>
      </c>
      <c r="F183" s="31">
        <v>9626.2929999999997</v>
      </c>
      <c r="G183" s="31">
        <v>9745.3850000000002</v>
      </c>
      <c r="H183" s="31">
        <v>9834.9</v>
      </c>
      <c r="I183" s="31">
        <v>4831.3720000000003</v>
      </c>
      <c r="J183" s="31">
        <v>5895.7659999999996</v>
      </c>
      <c r="K183" s="31">
        <v>6316.2430000000004</v>
      </c>
      <c r="L183" s="31">
        <v>6072.9949999999999</v>
      </c>
      <c r="M183" s="31">
        <v>9248.4060000000009</v>
      </c>
      <c r="N183" s="31">
        <v>14608.124</v>
      </c>
    </row>
    <row r="184" spans="2:14" ht="18" customHeight="1">
      <c r="B184" s="23" t="s">
        <v>487</v>
      </c>
      <c r="C184" s="23" t="s">
        <v>488</v>
      </c>
      <c r="D184" s="23" t="s">
        <v>494</v>
      </c>
      <c r="E184" s="23" t="s">
        <v>28</v>
      </c>
      <c r="F184" s="31">
        <v>40794.112999999998</v>
      </c>
      <c r="G184" s="31">
        <v>35219.921000000002</v>
      </c>
      <c r="H184" s="31">
        <v>30110.66</v>
      </c>
      <c r="I184" s="31">
        <v>33815.004999999997</v>
      </c>
      <c r="J184" s="31">
        <v>37595.665000000001</v>
      </c>
      <c r="K184" s="31">
        <v>40436.574999999997</v>
      </c>
      <c r="L184" s="31">
        <v>56737.372000000003</v>
      </c>
      <c r="M184" s="31">
        <v>58532.339</v>
      </c>
      <c r="N184" s="31">
        <v>76021.430999999997</v>
      </c>
    </row>
    <row r="185" spans="2:14" ht="18" customHeight="1">
      <c r="B185" s="23" t="s">
        <v>487</v>
      </c>
      <c r="C185" s="23" t="s">
        <v>488</v>
      </c>
      <c r="D185" s="23" t="s">
        <v>495</v>
      </c>
      <c r="E185" s="23" t="s">
        <v>28</v>
      </c>
      <c r="F185" s="31">
        <v>58.987000000000002</v>
      </c>
      <c r="G185" s="31">
        <v>0</v>
      </c>
      <c r="H185" s="31">
        <v>71.108000000000004</v>
      </c>
      <c r="I185" s="31">
        <v>96.271000000000001</v>
      </c>
      <c r="J185" s="31">
        <v>50.63</v>
      </c>
      <c r="K185" s="31">
        <v>143.88499999999999</v>
      </c>
      <c r="L185" s="31">
        <v>0</v>
      </c>
      <c r="M185" s="31">
        <v>0</v>
      </c>
      <c r="N185" s="31">
        <v>0</v>
      </c>
    </row>
    <row r="186" spans="2:14" ht="18" customHeight="1">
      <c r="B186" s="23" t="s">
        <v>487</v>
      </c>
      <c r="C186" s="23" t="s">
        <v>488</v>
      </c>
      <c r="D186" s="23" t="s">
        <v>496</v>
      </c>
      <c r="E186" s="23" t="s">
        <v>28</v>
      </c>
      <c r="F186" s="31">
        <v>596.16899999999998</v>
      </c>
      <c r="G186" s="31">
        <v>491.99099999999999</v>
      </c>
      <c r="H186" s="31">
        <v>409.46499999999997</v>
      </c>
      <c r="I186" s="31">
        <v>442.74099999999999</v>
      </c>
      <c r="J186" s="31">
        <v>460.06</v>
      </c>
      <c r="K186" s="31">
        <v>474.815</v>
      </c>
      <c r="L186" s="31">
        <v>501.05</v>
      </c>
      <c r="M186" s="31">
        <v>543.1</v>
      </c>
      <c r="N186" s="31">
        <v>274.935</v>
      </c>
    </row>
    <row r="187" spans="2:14" ht="18" customHeight="1">
      <c r="B187" s="23" t="s">
        <v>487</v>
      </c>
      <c r="C187" s="23" t="s">
        <v>488</v>
      </c>
      <c r="D187" s="23" t="s">
        <v>497</v>
      </c>
      <c r="E187" s="23" t="s">
        <v>28</v>
      </c>
      <c r="F187" s="31">
        <v>2941.7539999999999</v>
      </c>
      <c r="G187" s="31">
        <v>4777.0379999999996</v>
      </c>
      <c r="H187" s="31">
        <v>4284.4960000000001</v>
      </c>
      <c r="I187" s="31">
        <v>3441.55</v>
      </c>
      <c r="J187" s="31">
        <v>5546.8609999999999</v>
      </c>
      <c r="K187" s="31">
        <v>7461.0050000000001</v>
      </c>
      <c r="L187" s="31">
        <v>17730.14</v>
      </c>
      <c r="M187" s="31">
        <v>9731.6669999999995</v>
      </c>
      <c r="N187" s="31">
        <v>7312.5429999999997</v>
      </c>
    </row>
    <row r="188" spans="2:14" ht="18" customHeight="1">
      <c r="B188" s="23" t="s">
        <v>487</v>
      </c>
      <c r="C188" s="23" t="s">
        <v>488</v>
      </c>
      <c r="D188" s="23" t="s">
        <v>498</v>
      </c>
      <c r="E188" s="23" t="s">
        <v>28</v>
      </c>
      <c r="F188" s="31">
        <v>323960.16200000001</v>
      </c>
      <c r="G188" s="31">
        <v>332269.34299999999</v>
      </c>
      <c r="H188" s="31">
        <v>328494.61499999999</v>
      </c>
      <c r="I188" s="31">
        <v>325267.359</v>
      </c>
      <c r="J188" s="31">
        <v>332200.06300000002</v>
      </c>
      <c r="K188" s="31">
        <v>330469.185</v>
      </c>
      <c r="L188" s="31">
        <v>353725.272</v>
      </c>
      <c r="M188" s="31">
        <v>358086.19900000002</v>
      </c>
      <c r="N188" s="31">
        <v>389039.49099999998</v>
      </c>
    </row>
    <row r="189" spans="2:14" ht="18" customHeight="1">
      <c r="B189" s="23" t="s">
        <v>487</v>
      </c>
      <c r="C189" s="23" t="s">
        <v>488</v>
      </c>
      <c r="D189" s="23" t="s">
        <v>499</v>
      </c>
      <c r="E189" s="23" t="s">
        <v>28</v>
      </c>
      <c r="F189" s="31">
        <v>4878.6670000000004</v>
      </c>
      <c r="G189" s="31">
        <v>4878.6670000000004</v>
      </c>
      <c r="H189" s="31">
        <v>4878.6670000000004</v>
      </c>
      <c r="I189" s="31">
        <v>4878.6670000000004</v>
      </c>
      <c r="J189" s="31">
        <v>4878.6670000000004</v>
      </c>
      <c r="K189" s="31">
        <v>4878.6670000000004</v>
      </c>
      <c r="L189" s="31">
        <v>4878.6670000000004</v>
      </c>
      <c r="M189" s="31">
        <v>4878.6670000000004</v>
      </c>
      <c r="N189" s="31">
        <v>4878.6670000000004</v>
      </c>
    </row>
    <row r="190" spans="2:14" ht="18" customHeight="1">
      <c r="B190" s="23" t="s">
        <v>487</v>
      </c>
      <c r="C190" s="23" t="s">
        <v>488</v>
      </c>
      <c r="D190" s="23" t="s">
        <v>500</v>
      </c>
      <c r="E190" s="23" t="s">
        <v>28</v>
      </c>
      <c r="F190" s="31">
        <v>22021.219000000001</v>
      </c>
      <c r="G190" s="31">
        <v>22021.219000000001</v>
      </c>
      <c r="H190" s="31">
        <v>22021.219000000001</v>
      </c>
      <c r="I190" s="31">
        <v>22021.219000000001</v>
      </c>
      <c r="J190" s="31">
        <v>22021.219000000001</v>
      </c>
      <c r="K190" s="31">
        <v>22021.219000000001</v>
      </c>
      <c r="L190" s="31">
        <v>22021.219000000001</v>
      </c>
      <c r="M190" s="31">
        <v>22021.219000000001</v>
      </c>
      <c r="N190" s="31">
        <v>22021.219000000001</v>
      </c>
    </row>
    <row r="191" spans="2:14" ht="18" customHeight="1">
      <c r="B191" s="23" t="s">
        <v>487</v>
      </c>
      <c r="C191" s="23" t="s">
        <v>488</v>
      </c>
      <c r="D191" s="23" t="s">
        <v>501</v>
      </c>
      <c r="E191" s="23" t="s">
        <v>28</v>
      </c>
      <c r="F191" s="31">
        <v>31498.131000000001</v>
      </c>
      <c r="G191" s="31">
        <v>33722.536999999997</v>
      </c>
      <c r="H191" s="31">
        <v>29330.975999999999</v>
      </c>
      <c r="I191" s="31">
        <v>27996.913</v>
      </c>
      <c r="J191" s="31">
        <v>29969.559000000001</v>
      </c>
      <c r="K191" s="31">
        <v>32733.581999999999</v>
      </c>
      <c r="L191" s="31">
        <v>29942.955000000002</v>
      </c>
      <c r="M191" s="31">
        <v>60414.275999999998</v>
      </c>
      <c r="N191" s="31">
        <v>82435.679999999993</v>
      </c>
    </row>
    <row r="192" spans="2:14" ht="18" customHeight="1">
      <c r="B192" s="23" t="s">
        <v>487</v>
      </c>
      <c r="C192" s="23" t="s">
        <v>488</v>
      </c>
      <c r="D192" s="23" t="s">
        <v>502</v>
      </c>
      <c r="E192" s="23" t="s">
        <v>28</v>
      </c>
      <c r="F192" s="31">
        <v>58398.017</v>
      </c>
      <c r="G192" s="31">
        <v>60622.423000000003</v>
      </c>
      <c r="H192" s="31">
        <v>56230.862000000001</v>
      </c>
      <c r="I192" s="31">
        <v>54896.798999999999</v>
      </c>
      <c r="J192" s="31">
        <v>56869.445</v>
      </c>
      <c r="K192" s="31">
        <v>59633.468000000001</v>
      </c>
      <c r="L192" s="31">
        <v>56842.841</v>
      </c>
      <c r="M192" s="31">
        <v>87314.161999999997</v>
      </c>
      <c r="N192" s="31">
        <v>109335.56600000001</v>
      </c>
    </row>
    <row r="193" spans="2:14" ht="18" customHeight="1">
      <c r="B193" s="23" t="s">
        <v>487</v>
      </c>
      <c r="C193" s="23" t="s">
        <v>488</v>
      </c>
      <c r="D193" s="23" t="s">
        <v>503</v>
      </c>
      <c r="E193" s="23" t="s">
        <v>28</v>
      </c>
      <c r="F193" s="31">
        <v>27365.357</v>
      </c>
      <c r="G193" s="31">
        <v>28904.087</v>
      </c>
      <c r="H193" s="31">
        <v>26886.643</v>
      </c>
      <c r="I193" s="31">
        <v>20590.805</v>
      </c>
      <c r="J193" s="31">
        <v>27415.359</v>
      </c>
      <c r="K193" s="31">
        <v>28579.124</v>
      </c>
      <c r="L193" s="31">
        <v>27217.477999999999</v>
      </c>
      <c r="M193" s="31">
        <v>37523.737000000001</v>
      </c>
      <c r="N193" s="31">
        <v>43063.648999999998</v>
      </c>
    </row>
    <row r="194" spans="2:14" ht="18" customHeight="1">
      <c r="B194" s="23" t="s">
        <v>487</v>
      </c>
      <c r="C194" s="23" t="s">
        <v>488</v>
      </c>
      <c r="D194" s="23" t="s">
        <v>504</v>
      </c>
      <c r="E194" s="23" t="s">
        <v>28</v>
      </c>
      <c r="F194" s="31">
        <v>19562.050999999999</v>
      </c>
      <c r="G194" s="31">
        <v>16999.102999999999</v>
      </c>
      <c r="H194" s="31">
        <v>15103.027</v>
      </c>
      <c r="I194" s="31">
        <v>12900.609</v>
      </c>
      <c r="J194" s="31">
        <v>11187.465</v>
      </c>
      <c r="K194" s="31">
        <v>11131.733</v>
      </c>
      <c r="L194" s="31">
        <v>12775.248</v>
      </c>
      <c r="M194" s="31">
        <v>15700.477999999999</v>
      </c>
      <c r="N194" s="31">
        <v>19142.491000000002</v>
      </c>
    </row>
    <row r="195" spans="2:14" ht="18" customHeight="1">
      <c r="B195" s="23" t="s">
        <v>487</v>
      </c>
      <c r="C195" s="23" t="s">
        <v>488</v>
      </c>
      <c r="D195" s="23" t="s">
        <v>505</v>
      </c>
      <c r="E195" s="23" t="s">
        <v>28</v>
      </c>
      <c r="F195" s="31">
        <v>0</v>
      </c>
      <c r="G195" s="31">
        <v>0</v>
      </c>
      <c r="H195" s="31">
        <v>0</v>
      </c>
      <c r="I195" s="31">
        <v>0</v>
      </c>
      <c r="J195" s="31">
        <v>0</v>
      </c>
      <c r="K195" s="31">
        <v>0</v>
      </c>
      <c r="L195" s="31">
        <v>0</v>
      </c>
      <c r="M195" s="31">
        <v>0</v>
      </c>
      <c r="N195" s="31">
        <v>488.91199999999998</v>
      </c>
    </row>
    <row r="196" spans="2:14" ht="18" customHeight="1">
      <c r="B196" s="23" t="s">
        <v>487</v>
      </c>
      <c r="C196" s="23" t="s">
        <v>488</v>
      </c>
      <c r="D196" s="23" t="s">
        <v>506</v>
      </c>
      <c r="E196" s="23" t="s">
        <v>28</v>
      </c>
      <c r="F196" s="31">
        <v>29710.546999999999</v>
      </c>
      <c r="G196" s="31">
        <v>22524.358</v>
      </c>
      <c r="H196" s="31">
        <v>21935.191999999999</v>
      </c>
      <c r="I196" s="31">
        <v>23487.672999999999</v>
      </c>
      <c r="J196" s="31">
        <v>28317.338</v>
      </c>
      <c r="K196" s="31">
        <v>31823.136999999999</v>
      </c>
      <c r="L196" s="31">
        <v>29562.692999999999</v>
      </c>
      <c r="M196" s="31">
        <v>29704.178</v>
      </c>
      <c r="N196" s="31">
        <v>29049.960999999999</v>
      </c>
    </row>
    <row r="197" spans="2:14" ht="18" customHeight="1">
      <c r="B197" s="23" t="s">
        <v>487</v>
      </c>
      <c r="C197" s="23" t="s">
        <v>488</v>
      </c>
      <c r="D197" s="23" t="s">
        <v>507</v>
      </c>
      <c r="E197" s="23" t="s">
        <v>28</v>
      </c>
      <c r="F197" s="31">
        <v>0</v>
      </c>
      <c r="G197" s="31">
        <v>0</v>
      </c>
      <c r="H197" s="31">
        <v>0</v>
      </c>
      <c r="I197" s="31">
        <v>915.48</v>
      </c>
      <c r="J197" s="31">
        <v>837.74199999999996</v>
      </c>
      <c r="K197" s="31">
        <v>660.34400000000005</v>
      </c>
      <c r="L197" s="31">
        <v>551.58199999999999</v>
      </c>
      <c r="M197" s="31">
        <v>410.84100000000001</v>
      </c>
      <c r="N197" s="31">
        <v>350.83199999999999</v>
      </c>
    </row>
    <row r="198" spans="2:14" ht="18" customHeight="1">
      <c r="B198" s="23" t="s">
        <v>487</v>
      </c>
      <c r="C198" s="23" t="s">
        <v>488</v>
      </c>
      <c r="D198" s="23" t="s">
        <v>508</v>
      </c>
      <c r="E198" s="23" t="s">
        <v>28</v>
      </c>
      <c r="F198" s="31">
        <v>111075.216</v>
      </c>
      <c r="G198" s="31">
        <v>96929.05</v>
      </c>
      <c r="H198" s="31">
        <v>92615.400999999998</v>
      </c>
      <c r="I198" s="31">
        <v>94957.232000000004</v>
      </c>
      <c r="J198" s="31">
        <v>91042.790999999997</v>
      </c>
      <c r="K198" s="31">
        <v>87230.903999999995</v>
      </c>
      <c r="L198" s="31">
        <v>94456.941999999995</v>
      </c>
      <c r="M198" s="31">
        <v>81895.384999999995</v>
      </c>
      <c r="N198" s="31">
        <v>70138.83</v>
      </c>
    </row>
    <row r="199" spans="2:14" ht="18" customHeight="1">
      <c r="B199" s="23" t="s">
        <v>487</v>
      </c>
      <c r="C199" s="23" t="s">
        <v>488</v>
      </c>
      <c r="D199" s="23" t="s">
        <v>509</v>
      </c>
      <c r="E199" s="23" t="s">
        <v>28</v>
      </c>
      <c r="F199" s="31">
        <v>43</v>
      </c>
      <c r="G199" s="31">
        <v>43</v>
      </c>
      <c r="H199" s="31">
        <v>43</v>
      </c>
      <c r="I199" s="31">
        <v>43</v>
      </c>
      <c r="J199" s="31">
        <v>43</v>
      </c>
      <c r="K199" s="31">
        <v>43</v>
      </c>
      <c r="L199" s="31">
        <v>43</v>
      </c>
      <c r="M199" s="31">
        <v>43</v>
      </c>
      <c r="N199" s="31">
        <v>43</v>
      </c>
    </row>
    <row r="200" spans="2:14" ht="18" customHeight="1">
      <c r="B200" s="23" t="s">
        <v>487</v>
      </c>
      <c r="C200" s="23" t="s">
        <v>488</v>
      </c>
      <c r="D200" s="23" t="s">
        <v>224</v>
      </c>
      <c r="E200" s="23" t="s">
        <v>28</v>
      </c>
      <c r="F200" s="31">
        <v>57545.031999999999</v>
      </c>
      <c r="G200" s="31">
        <v>71259.373999999996</v>
      </c>
      <c r="H200" s="31">
        <v>81196.161999999997</v>
      </c>
      <c r="I200" s="31">
        <v>88502.706000000006</v>
      </c>
      <c r="J200" s="31">
        <v>91894.846000000005</v>
      </c>
      <c r="K200" s="31">
        <v>88216.417000000001</v>
      </c>
      <c r="L200" s="31">
        <v>105064.92200000001</v>
      </c>
      <c r="M200" s="31">
        <v>80339.23</v>
      </c>
      <c r="N200" s="31">
        <v>89937.801999999996</v>
      </c>
    </row>
    <row r="201" spans="2:14" ht="18" customHeight="1">
      <c r="B201" s="23" t="s">
        <v>487</v>
      </c>
      <c r="C201" s="23" t="s">
        <v>488</v>
      </c>
      <c r="D201" s="23" t="s">
        <v>510</v>
      </c>
      <c r="E201" s="23" t="s">
        <v>28</v>
      </c>
      <c r="F201" s="31">
        <v>4944.5720000000001</v>
      </c>
      <c r="G201" s="31">
        <v>4702.4269999999997</v>
      </c>
      <c r="H201" s="31">
        <v>3935.6320000000001</v>
      </c>
      <c r="I201" s="31">
        <v>3041.221</v>
      </c>
      <c r="J201" s="31">
        <v>3155.0680000000002</v>
      </c>
      <c r="K201" s="31">
        <v>3693.1239999999998</v>
      </c>
      <c r="L201" s="31">
        <v>4227.4260000000004</v>
      </c>
      <c r="M201" s="31">
        <v>3840.6460000000002</v>
      </c>
      <c r="N201" s="31">
        <v>4402.75</v>
      </c>
    </row>
    <row r="202" spans="2:14" ht="18" customHeight="1">
      <c r="B202" s="23" t="s">
        <v>487</v>
      </c>
      <c r="C202" s="23" t="s">
        <v>488</v>
      </c>
      <c r="D202" s="23" t="s">
        <v>511</v>
      </c>
      <c r="E202" s="23" t="s">
        <v>28</v>
      </c>
      <c r="F202" s="31">
        <v>0</v>
      </c>
      <c r="G202" s="31">
        <v>10.119</v>
      </c>
      <c r="H202" s="31">
        <v>0</v>
      </c>
      <c r="I202" s="31">
        <v>0</v>
      </c>
      <c r="J202" s="31">
        <v>0</v>
      </c>
      <c r="K202" s="31">
        <v>0</v>
      </c>
      <c r="L202" s="31">
        <v>12.135999999999999</v>
      </c>
      <c r="M202" s="31">
        <v>2861.3620000000001</v>
      </c>
      <c r="N202" s="31">
        <v>2933.4250000000002</v>
      </c>
    </row>
    <row r="203" spans="2:14" ht="18" customHeight="1">
      <c r="B203" s="23" t="s">
        <v>487</v>
      </c>
      <c r="C203" s="23" t="s">
        <v>488</v>
      </c>
      <c r="D203" s="23" t="s">
        <v>512</v>
      </c>
      <c r="E203" s="23" t="s">
        <v>28</v>
      </c>
      <c r="F203" s="31">
        <v>346.90300000000002</v>
      </c>
      <c r="G203" s="31">
        <v>752.928</v>
      </c>
      <c r="H203" s="31">
        <v>813.33100000000002</v>
      </c>
      <c r="I203" s="31">
        <v>1034.557</v>
      </c>
      <c r="J203" s="31">
        <v>821.44299999999998</v>
      </c>
      <c r="K203" s="31">
        <v>983.36699999999996</v>
      </c>
      <c r="L203" s="31">
        <v>958.54200000000003</v>
      </c>
      <c r="M203" s="31">
        <v>855.16200000000003</v>
      </c>
      <c r="N203" s="31">
        <v>765.06100000000004</v>
      </c>
    </row>
    <row r="204" spans="2:14" ht="18" customHeight="1">
      <c r="B204" s="23" t="s">
        <v>487</v>
      </c>
      <c r="C204" s="23" t="s">
        <v>488</v>
      </c>
      <c r="D204" s="23" t="s">
        <v>513</v>
      </c>
      <c r="E204" s="23" t="s">
        <v>28</v>
      </c>
      <c r="F204" s="31">
        <v>0</v>
      </c>
      <c r="G204" s="31">
        <v>0</v>
      </c>
      <c r="H204" s="31">
        <v>0</v>
      </c>
      <c r="I204" s="31">
        <v>314.94799999999998</v>
      </c>
      <c r="J204" s="31">
        <v>279.47199999999998</v>
      </c>
      <c r="K204" s="31">
        <v>304.41300000000001</v>
      </c>
      <c r="L204" s="31">
        <v>309.65499999999997</v>
      </c>
      <c r="M204" s="31">
        <v>230.64400000000001</v>
      </c>
      <c r="N204" s="31">
        <v>259.01600000000002</v>
      </c>
    </row>
    <row r="205" spans="2:14" ht="18" customHeight="1">
      <c r="B205" s="23" t="s">
        <v>487</v>
      </c>
      <c r="C205" s="23" t="s">
        <v>488</v>
      </c>
      <c r="D205" s="23" t="s">
        <v>514</v>
      </c>
      <c r="E205" s="23" t="s">
        <v>28</v>
      </c>
      <c r="F205" s="31">
        <v>9918.2950000000001</v>
      </c>
      <c r="G205" s="31">
        <v>15788.291999999999</v>
      </c>
      <c r="H205" s="31">
        <v>18768.014999999999</v>
      </c>
      <c r="I205" s="31">
        <v>15004.361000000001</v>
      </c>
      <c r="J205" s="31">
        <v>15947.496999999999</v>
      </c>
      <c r="K205" s="31">
        <v>17411.984</v>
      </c>
      <c r="L205" s="31">
        <v>20951.195</v>
      </c>
      <c r="M205" s="31">
        <v>16619.184000000001</v>
      </c>
      <c r="N205" s="31">
        <v>17496.348000000002</v>
      </c>
    </row>
    <row r="206" spans="2:14" ht="18" customHeight="1">
      <c r="B206" s="23" t="s">
        <v>487</v>
      </c>
      <c r="C206" s="23" t="s">
        <v>488</v>
      </c>
      <c r="D206" s="23" t="s">
        <v>515</v>
      </c>
      <c r="E206" s="23" t="s">
        <v>28</v>
      </c>
      <c r="F206" s="31">
        <v>362.839</v>
      </c>
      <c r="G206" s="31">
        <v>862.00699999999995</v>
      </c>
      <c r="H206" s="31">
        <v>811.04499999999996</v>
      </c>
      <c r="I206" s="31">
        <v>806.22199999999998</v>
      </c>
      <c r="J206" s="31">
        <v>793.38300000000004</v>
      </c>
      <c r="K206" s="31">
        <v>758.17</v>
      </c>
      <c r="L206" s="31">
        <v>751.61199999999997</v>
      </c>
      <c r="M206" s="31">
        <v>748.19</v>
      </c>
      <c r="N206" s="31">
        <v>1631.848</v>
      </c>
    </row>
    <row r="207" spans="2:14" ht="18" customHeight="1">
      <c r="B207" s="23" t="s">
        <v>487</v>
      </c>
      <c r="C207" s="23" t="s">
        <v>488</v>
      </c>
      <c r="D207" s="23" t="s">
        <v>516</v>
      </c>
      <c r="E207" s="23" t="s">
        <v>28</v>
      </c>
      <c r="F207" s="31">
        <v>4688.3329999999996</v>
      </c>
      <c r="G207" s="31">
        <v>12872.174999999999</v>
      </c>
      <c r="H207" s="31">
        <v>10156.305</v>
      </c>
      <c r="I207" s="31">
        <v>8771.7459999999992</v>
      </c>
      <c r="J207" s="31">
        <v>3595.2139999999999</v>
      </c>
      <c r="K207" s="31">
        <v>0</v>
      </c>
      <c r="L207" s="31">
        <v>0</v>
      </c>
      <c r="M207" s="31">
        <v>0</v>
      </c>
      <c r="N207" s="31">
        <v>0</v>
      </c>
    </row>
    <row r="208" spans="2:14" ht="18" customHeight="1">
      <c r="B208" s="23" t="s">
        <v>487</v>
      </c>
      <c r="C208" s="23" t="s">
        <v>488</v>
      </c>
      <c r="D208" s="23" t="s">
        <v>517</v>
      </c>
      <c r="E208" s="23" t="s">
        <v>28</v>
      </c>
      <c r="F208" s="32">
        <f t="shared" ref="F208:N208" si="119">IF(OR(F188="",F192=""),"",F188-F192)</f>
        <v>265562.14500000002</v>
      </c>
      <c r="G208" s="32">
        <f t="shared" si="119"/>
        <v>271646.92</v>
      </c>
      <c r="H208" s="32">
        <f t="shared" si="119"/>
        <v>272263.75299999997</v>
      </c>
      <c r="I208" s="32">
        <f t="shared" si="119"/>
        <v>270370.56</v>
      </c>
      <c r="J208" s="32">
        <f t="shared" si="119"/>
        <v>275330.61800000002</v>
      </c>
      <c r="K208" s="32">
        <f t="shared" si="119"/>
        <v>270835.717</v>
      </c>
      <c r="L208" s="32">
        <f t="shared" si="119"/>
        <v>296882.43099999998</v>
      </c>
      <c r="M208" s="32">
        <f t="shared" si="119"/>
        <v>270772.03700000001</v>
      </c>
      <c r="N208" s="32">
        <f t="shared" si="119"/>
        <v>279703.92499999999</v>
      </c>
    </row>
    <row r="209" spans="2:14" ht="18" customHeight="1">
      <c r="B209" s="23" t="s">
        <v>487</v>
      </c>
      <c r="C209" s="23" t="s">
        <v>488</v>
      </c>
      <c r="D209" s="23" t="s">
        <v>518</v>
      </c>
      <c r="E209" s="23" t="s">
        <v>28</v>
      </c>
      <c r="F209" s="32">
        <f t="shared" ref="F209:N209" si="120">IF(OR(F188="",F192="",F208=""),"",F188-F192-F208)</f>
        <v>0</v>
      </c>
      <c r="G209" s="32">
        <f t="shared" si="120"/>
        <v>0</v>
      </c>
      <c r="H209" s="32">
        <f t="shared" si="120"/>
        <v>0</v>
      </c>
      <c r="I209" s="32">
        <f t="shared" si="120"/>
        <v>0</v>
      </c>
      <c r="J209" s="32">
        <f t="shared" si="120"/>
        <v>0</v>
      </c>
      <c r="K209" s="32">
        <f t="shared" si="120"/>
        <v>0</v>
      </c>
      <c r="L209" s="32">
        <f t="shared" si="120"/>
        <v>0</v>
      </c>
      <c r="M209" s="32">
        <f t="shared" si="120"/>
        <v>0</v>
      </c>
      <c r="N209" s="32">
        <f t="shared" si="120"/>
        <v>0</v>
      </c>
    </row>
    <row r="210" spans="2:14" ht="24" customHeight="1">
      <c r="B210" s="25" t="s">
        <v>519</v>
      </c>
      <c r="C210" s="25" t="s">
        <v>520</v>
      </c>
      <c r="D210" s="25"/>
      <c r="E210" s="25"/>
      <c r="F210" s="26"/>
      <c r="G210" s="26"/>
      <c r="H210" s="26"/>
      <c r="I210" s="26"/>
      <c r="J210" s="26"/>
      <c r="K210" s="26"/>
      <c r="L210" s="26"/>
      <c r="M210" s="26"/>
      <c r="N210" s="26"/>
    </row>
    <row r="211" spans="2:14" ht="51.75" customHeight="1">
      <c r="B211" s="23" t="s">
        <v>519</v>
      </c>
      <c r="C211" s="23" t="s">
        <v>521</v>
      </c>
      <c r="D211" s="23" t="s">
        <v>522</v>
      </c>
      <c r="E211" s="23" t="s">
        <v>28</v>
      </c>
      <c r="F211" s="31">
        <v>40794.112999999998</v>
      </c>
      <c r="G211" s="31">
        <v>35219.921000000002</v>
      </c>
      <c r="H211" s="31">
        <v>30110.66</v>
      </c>
      <c r="I211" s="31">
        <v>33815.004999999997</v>
      </c>
      <c r="J211" s="31">
        <v>37595.665000000001</v>
      </c>
      <c r="K211" s="31">
        <v>40436.574999999997</v>
      </c>
      <c r="L211" s="31">
        <v>56737.372000000003</v>
      </c>
      <c r="M211" s="31">
        <v>58532.339</v>
      </c>
      <c r="N211" s="31">
        <v>76021.430999999997</v>
      </c>
    </row>
    <row r="212" spans="2:14" ht="30" customHeight="1">
      <c r="B212" s="23" t="s">
        <v>519</v>
      </c>
      <c r="C212" s="23" t="s">
        <v>521</v>
      </c>
      <c r="D212" s="23" t="s">
        <v>223</v>
      </c>
      <c r="E212" s="23" t="s">
        <v>28</v>
      </c>
      <c r="F212" s="31">
        <v>9626.2929999999997</v>
      </c>
      <c r="G212" s="31">
        <v>9745.3850000000002</v>
      </c>
      <c r="H212" s="31">
        <v>9834.9</v>
      </c>
      <c r="I212" s="31">
        <v>4831.3720000000003</v>
      </c>
      <c r="J212" s="31">
        <v>5895.7659999999996</v>
      </c>
      <c r="K212" s="31">
        <v>6316.2430000000004</v>
      </c>
      <c r="L212" s="31">
        <v>6072.9949999999999</v>
      </c>
      <c r="M212" s="31">
        <v>9248.4060000000009</v>
      </c>
      <c r="N212" s="31">
        <v>14608.124</v>
      </c>
    </row>
    <row r="213" spans="2:14" ht="32.25" customHeight="1">
      <c r="B213" s="23" t="s">
        <v>519</v>
      </c>
      <c r="C213" s="23" t="s">
        <v>521</v>
      </c>
      <c r="D213" s="23" t="s">
        <v>224</v>
      </c>
      <c r="E213" s="23" t="s">
        <v>28</v>
      </c>
      <c r="F213" s="31">
        <v>57545.031999999999</v>
      </c>
      <c r="G213" s="31">
        <v>71259.373999999996</v>
      </c>
      <c r="H213" s="31">
        <v>81196.161999999997</v>
      </c>
      <c r="I213" s="31">
        <v>88502.706000000006</v>
      </c>
      <c r="J213" s="31">
        <v>91894.846000000005</v>
      </c>
      <c r="K213" s="31">
        <v>88216.417000000001</v>
      </c>
      <c r="L213" s="31">
        <v>105064.92200000001</v>
      </c>
      <c r="M213" s="31">
        <v>80339.23</v>
      </c>
      <c r="N213" s="31">
        <v>89937.801999999996</v>
      </c>
    </row>
    <row r="214" spans="2:14" ht="28.5" customHeight="1">
      <c r="B214" s="23" t="s">
        <v>519</v>
      </c>
      <c r="C214" s="23" t="s">
        <v>521</v>
      </c>
      <c r="D214" s="23" t="s">
        <v>225</v>
      </c>
      <c r="E214" s="23" t="s">
        <v>28</v>
      </c>
      <c r="F214" s="32">
        <f t="shared" ref="F214:N214" si="121">IF(OR(F211="",F212="",F213=""),"",F211+F212-F213)</f>
        <v>-7124.6260000000038</v>
      </c>
      <c r="G214" s="32">
        <f t="shared" si="121"/>
        <v>-26294.067999999992</v>
      </c>
      <c r="H214" s="32">
        <f t="shared" si="121"/>
        <v>-41250.601999999999</v>
      </c>
      <c r="I214" s="32">
        <f t="shared" si="121"/>
        <v>-49856.329000000005</v>
      </c>
      <c r="J214" s="32">
        <f t="shared" si="121"/>
        <v>-48403.415000000008</v>
      </c>
      <c r="K214" s="32">
        <f t="shared" si="121"/>
        <v>-41463.599000000002</v>
      </c>
      <c r="L214" s="32">
        <f t="shared" si="121"/>
        <v>-42254.555</v>
      </c>
      <c r="M214" s="32">
        <f t="shared" si="121"/>
        <v>-12558.485000000001</v>
      </c>
      <c r="N214" s="32">
        <f t="shared" si="121"/>
        <v>691.75299999999697</v>
      </c>
    </row>
    <row r="215" spans="2:14" ht="27" customHeight="1">
      <c r="B215" s="23" t="s">
        <v>519</v>
      </c>
      <c r="C215" s="23" t="s">
        <v>521</v>
      </c>
      <c r="D215" s="23" t="s">
        <v>227</v>
      </c>
      <c r="E215" s="23" t="s">
        <v>85</v>
      </c>
      <c r="F215" s="33">
        <f t="shared" ref="F215:N215" si="122">IFERROR(F211/F71*365,"")</f>
        <v>123.31929195136051</v>
      </c>
      <c r="G215" s="33">
        <f t="shared" si="122"/>
        <v>97.848771181604775</v>
      </c>
      <c r="H215" s="33">
        <f t="shared" si="122"/>
        <v>82.547075865582912</v>
      </c>
      <c r="I215" s="33">
        <f t="shared" si="122"/>
        <v>92.620488582042896</v>
      </c>
      <c r="J215" s="33">
        <f t="shared" si="122"/>
        <v>95.215482480679839</v>
      </c>
      <c r="K215" s="33">
        <f t="shared" si="122"/>
        <v>93.797551050326561</v>
      </c>
      <c r="L215" s="33">
        <f t="shared" si="122"/>
        <v>108.43904054559951</v>
      </c>
      <c r="M215" s="33">
        <f t="shared" si="122"/>
        <v>92.436704915941576</v>
      </c>
      <c r="N215" s="33">
        <f t="shared" si="122"/>
        <v>126.53796191896186</v>
      </c>
    </row>
    <row r="216" spans="2:14" ht="27" customHeight="1">
      <c r="B216" s="23" t="s">
        <v>519</v>
      </c>
      <c r="C216" s="23" t="s">
        <v>521</v>
      </c>
      <c r="D216" s="23" t="s">
        <v>228</v>
      </c>
      <c r="E216" s="23" t="s">
        <v>85</v>
      </c>
      <c r="F216" s="33" t="str">
        <f t="shared" ref="F216:N216" si="123">IFERROR(F212/ABS(F95)*365,"")</f>
        <v/>
      </c>
      <c r="G216" s="33">
        <f t="shared" si="123"/>
        <v>42.295425273380424</v>
      </c>
      <c r="H216" s="33">
        <f t="shared" si="123"/>
        <v>39.81860317789355</v>
      </c>
      <c r="I216" s="33">
        <f t="shared" si="123"/>
        <v>20.153863240558287</v>
      </c>
      <c r="J216" s="33">
        <f t="shared" si="123"/>
        <v>22.83967597372677</v>
      </c>
      <c r="K216" s="33">
        <f t="shared" si="123"/>
        <v>19.64630742345669</v>
      </c>
      <c r="L216" s="33">
        <f t="shared" si="123"/>
        <v>15.438864651936161</v>
      </c>
      <c r="M216" s="33">
        <f t="shared" si="123"/>
        <v>22.41391672135244</v>
      </c>
      <c r="N216" s="33">
        <f t="shared" si="123"/>
        <v>36.857682759945043</v>
      </c>
    </row>
    <row r="217" spans="2:14" ht="26.25" customHeight="1">
      <c r="B217" s="23" t="s">
        <v>519</v>
      </c>
      <c r="C217" s="23" t="s">
        <v>521</v>
      </c>
      <c r="D217" s="23" t="s">
        <v>229</v>
      </c>
      <c r="E217" s="23" t="s">
        <v>85</v>
      </c>
      <c r="F217" s="33" t="str">
        <f t="shared" ref="F217:N217" si="124">IFERROR(F213/ABS(F95)*365,"")</f>
        <v/>
      </c>
      <c r="G217" s="33">
        <f t="shared" si="124"/>
        <v>309.26900559032487</v>
      </c>
      <c r="H217" s="33">
        <f t="shared" si="124"/>
        <v>328.73926061738899</v>
      </c>
      <c r="I217" s="33">
        <f t="shared" si="124"/>
        <v>369.1852817674436</v>
      </c>
      <c r="J217" s="33">
        <f t="shared" si="124"/>
        <v>355.99250484085053</v>
      </c>
      <c r="K217" s="33">
        <f t="shared" si="124"/>
        <v>274.39204732589468</v>
      </c>
      <c r="L217" s="33">
        <f t="shared" si="124"/>
        <v>267.09771874079098</v>
      </c>
      <c r="M217" s="33">
        <f t="shared" si="124"/>
        <v>194.70564015870187</v>
      </c>
      <c r="N217" s="33">
        <f t="shared" si="124"/>
        <v>226.92160706212178</v>
      </c>
    </row>
    <row r="218" spans="2:14" ht="24" customHeight="1">
      <c r="B218" s="25" t="s">
        <v>523</v>
      </c>
      <c r="C218" s="25" t="s">
        <v>524</v>
      </c>
      <c r="D218" s="25"/>
      <c r="E218" s="25"/>
      <c r="F218" s="26"/>
      <c r="G218" s="26"/>
      <c r="H218" s="26"/>
      <c r="I218" s="26"/>
      <c r="J218" s="26"/>
      <c r="K218" s="26"/>
      <c r="L218" s="26"/>
      <c r="M218" s="26"/>
      <c r="N218" s="26"/>
    </row>
    <row r="219" spans="2:14" ht="25.5" customHeight="1">
      <c r="B219" s="23" t="s">
        <v>523</v>
      </c>
      <c r="C219" s="23" t="s">
        <v>525</v>
      </c>
      <c r="D219" s="23" t="s">
        <v>230</v>
      </c>
      <c r="E219" s="23" t="s">
        <v>28</v>
      </c>
      <c r="F219" s="31">
        <v>262347.609</v>
      </c>
      <c r="G219" s="31">
        <v>273376.88199999998</v>
      </c>
      <c r="H219" s="31">
        <v>277066.96000000002</v>
      </c>
      <c r="I219" s="31">
        <v>276859.90399999998</v>
      </c>
      <c r="J219" s="31">
        <v>277333.01400000002</v>
      </c>
      <c r="K219" s="31">
        <v>272360.57400000002</v>
      </c>
      <c r="L219" s="31">
        <v>267974.46600000001</v>
      </c>
      <c r="M219" s="31">
        <v>275774.83299999998</v>
      </c>
      <c r="N219" s="31">
        <v>287476.70299999998</v>
      </c>
    </row>
    <row r="220" spans="2:14" ht="27.75" customHeight="1">
      <c r="B220" s="23" t="s">
        <v>523</v>
      </c>
      <c r="C220" s="23" t="s">
        <v>525</v>
      </c>
      <c r="D220" s="23" t="s">
        <v>231</v>
      </c>
      <c r="E220" s="23" t="s">
        <v>28</v>
      </c>
      <c r="F220" s="31">
        <v>41516.131999999998</v>
      </c>
      <c r="G220" s="31">
        <v>28668.422999999999</v>
      </c>
      <c r="H220" s="31">
        <v>21533.351999999999</v>
      </c>
      <c r="I220" s="31">
        <v>17073.419000000002</v>
      </c>
      <c r="J220" s="31">
        <v>18661.903999999999</v>
      </c>
      <c r="K220" s="31">
        <v>12275.326999999999</v>
      </c>
      <c r="L220" s="31">
        <v>13817.255999999999</v>
      </c>
      <c r="M220" s="31">
        <v>24939.532999999999</v>
      </c>
      <c r="N220" s="31">
        <v>29512.68</v>
      </c>
    </row>
    <row r="221" spans="2:14" ht="30" customHeight="1">
      <c r="B221" s="23" t="s">
        <v>523</v>
      </c>
      <c r="C221" s="23" t="s">
        <v>525</v>
      </c>
      <c r="D221" s="23" t="s">
        <v>232</v>
      </c>
      <c r="E221" s="23" t="s">
        <v>28</v>
      </c>
      <c r="F221" s="31">
        <v>-11951.35</v>
      </c>
      <c r="G221" s="31">
        <v>-15284.953</v>
      </c>
      <c r="H221" s="31">
        <v>-17253.356</v>
      </c>
      <c r="I221" s="31">
        <v>-17869.492999999999</v>
      </c>
      <c r="J221" s="31">
        <v>-18218.442999999999</v>
      </c>
      <c r="K221" s="31">
        <v>-17641.988000000001</v>
      </c>
      <c r="L221" s="31">
        <v>-16391.321</v>
      </c>
      <c r="M221" s="31">
        <v>-16501.488000000001</v>
      </c>
      <c r="N221" s="31">
        <v>-17592.960999999999</v>
      </c>
    </row>
    <row r="222" spans="2:14" ht="29.25" customHeight="1">
      <c r="B222" s="23" t="s">
        <v>523</v>
      </c>
      <c r="C222" s="23" t="s">
        <v>525</v>
      </c>
      <c r="D222" s="23" t="s">
        <v>80</v>
      </c>
      <c r="E222" s="23" t="s">
        <v>31</v>
      </c>
      <c r="F222" s="34">
        <f t="shared" ref="F222:N222" si="125">IFERROR(ABS(F220)/F71,"")</f>
        <v>0.34384091006405626</v>
      </c>
      <c r="G222" s="34">
        <f t="shared" si="125"/>
        <v>0.21821165234552678</v>
      </c>
      <c r="H222" s="34">
        <f t="shared" si="125"/>
        <v>0.1617335777551189</v>
      </c>
      <c r="I222" s="34">
        <f t="shared" si="125"/>
        <v>0.12812245321318919</v>
      </c>
      <c r="J222" s="34">
        <f t="shared" si="125"/>
        <v>0.12948900324837831</v>
      </c>
      <c r="K222" s="34">
        <f t="shared" si="125"/>
        <v>7.8011268835914888E-2</v>
      </c>
      <c r="L222" s="34">
        <f t="shared" si="125"/>
        <v>7.235114191989804E-2</v>
      </c>
      <c r="M222" s="34">
        <f t="shared" si="125"/>
        <v>0.10790561121286113</v>
      </c>
      <c r="N222" s="34">
        <f t="shared" si="125"/>
        <v>0.13458621493145839</v>
      </c>
    </row>
    <row r="223" spans="2:14" ht="24" customHeight="1">
      <c r="B223" s="25" t="s">
        <v>526</v>
      </c>
      <c r="C223" s="25" t="s">
        <v>527</v>
      </c>
      <c r="D223" s="25"/>
      <c r="E223" s="25"/>
      <c r="F223" s="26"/>
      <c r="G223" s="26"/>
      <c r="H223" s="26"/>
      <c r="I223" s="26"/>
      <c r="J223" s="26"/>
      <c r="K223" s="26"/>
      <c r="L223" s="26"/>
      <c r="M223" s="26"/>
      <c r="N223" s="26"/>
    </row>
    <row r="224" spans="2:14" ht="18" customHeight="1">
      <c r="B224" s="23" t="s">
        <v>526</v>
      </c>
      <c r="C224" s="23" t="s">
        <v>528</v>
      </c>
      <c r="D224" s="23" t="s">
        <v>508</v>
      </c>
      <c r="E224" s="23" t="s">
        <v>28</v>
      </c>
      <c r="F224" s="31">
        <v>111075.216</v>
      </c>
      <c r="G224" s="31">
        <v>96929.05</v>
      </c>
      <c r="H224" s="31">
        <v>92615.400999999998</v>
      </c>
      <c r="I224" s="31">
        <v>94957.232000000004</v>
      </c>
      <c r="J224" s="31">
        <v>91042.790999999997</v>
      </c>
      <c r="K224" s="31">
        <v>87230.903999999995</v>
      </c>
      <c r="L224" s="31">
        <v>94456.941999999995</v>
      </c>
      <c r="M224" s="31">
        <v>81895.384999999995</v>
      </c>
      <c r="N224" s="31">
        <v>70138.83</v>
      </c>
    </row>
    <row r="225" spans="2:14" ht="18" customHeight="1">
      <c r="B225" s="23" t="s">
        <v>526</v>
      </c>
      <c r="C225" s="23" t="s">
        <v>528</v>
      </c>
      <c r="D225" s="23" t="s">
        <v>514</v>
      </c>
      <c r="E225" s="23" t="s">
        <v>28</v>
      </c>
      <c r="F225" s="31">
        <v>9918.2950000000001</v>
      </c>
      <c r="G225" s="31">
        <v>15788.291999999999</v>
      </c>
      <c r="H225" s="31">
        <v>18768.014999999999</v>
      </c>
      <c r="I225" s="31">
        <v>15004.361000000001</v>
      </c>
      <c r="J225" s="31">
        <v>15947.496999999999</v>
      </c>
      <c r="K225" s="31">
        <v>17411.984</v>
      </c>
      <c r="L225" s="31">
        <v>20951.195</v>
      </c>
      <c r="M225" s="31">
        <v>16619.184000000001</v>
      </c>
      <c r="N225" s="31">
        <v>17496.348000000002</v>
      </c>
    </row>
    <row r="226" spans="2:14" ht="18" customHeight="1">
      <c r="B226" s="23" t="s">
        <v>526</v>
      </c>
      <c r="C226" s="23" t="s">
        <v>528</v>
      </c>
      <c r="D226" s="23" t="s">
        <v>516</v>
      </c>
      <c r="E226" s="23" t="s">
        <v>28</v>
      </c>
      <c r="F226" s="31">
        <v>4688.3329999999996</v>
      </c>
      <c r="G226" s="31">
        <v>12872.174999999999</v>
      </c>
      <c r="H226" s="31">
        <v>10156.305</v>
      </c>
      <c r="I226" s="31">
        <v>8771.7459999999992</v>
      </c>
      <c r="J226" s="31">
        <v>3595.2139999999999</v>
      </c>
      <c r="K226" s="31">
        <v>0</v>
      </c>
      <c r="L226" s="31">
        <v>0</v>
      </c>
      <c r="M226" s="31">
        <v>0</v>
      </c>
      <c r="N226" s="31">
        <v>0</v>
      </c>
    </row>
    <row r="227" spans="2:14" ht="18" customHeight="1">
      <c r="B227" s="23" t="s">
        <v>526</v>
      </c>
      <c r="C227" s="23" t="s">
        <v>528</v>
      </c>
      <c r="D227" s="23" t="s">
        <v>529</v>
      </c>
      <c r="E227" s="23" t="s">
        <v>28</v>
      </c>
      <c r="F227" s="32">
        <f t="shared" ref="F227:N227" si="126">IFERROR(F197+F204,"")</f>
        <v>0</v>
      </c>
      <c r="G227" s="32">
        <f t="shared" si="126"/>
        <v>0</v>
      </c>
      <c r="H227" s="32">
        <f t="shared" si="126"/>
        <v>0</v>
      </c>
      <c r="I227" s="32">
        <f t="shared" si="126"/>
        <v>1230.4279999999999</v>
      </c>
      <c r="J227" s="32">
        <f t="shared" si="126"/>
        <v>1117.2139999999999</v>
      </c>
      <c r="K227" s="32">
        <f t="shared" si="126"/>
        <v>964.75700000000006</v>
      </c>
      <c r="L227" s="32">
        <f t="shared" si="126"/>
        <v>861.23699999999997</v>
      </c>
      <c r="M227" s="32">
        <f t="shared" si="126"/>
        <v>641.48500000000001</v>
      </c>
      <c r="N227" s="32">
        <f t="shared" si="126"/>
        <v>609.84799999999996</v>
      </c>
    </row>
    <row r="228" spans="2:14" ht="18" customHeight="1">
      <c r="B228" s="23" t="s">
        <v>526</v>
      </c>
      <c r="C228" s="23" t="s">
        <v>528</v>
      </c>
      <c r="D228" s="23" t="s">
        <v>233</v>
      </c>
      <c r="E228" s="23" t="s">
        <v>28</v>
      </c>
      <c r="F228" s="32">
        <f t="shared" ref="F228:N228" si="127">SUM(F224,F225,F226,F227)</f>
        <v>125681.844</v>
      </c>
      <c r="G228" s="32">
        <f t="shared" si="127"/>
        <v>125589.51700000001</v>
      </c>
      <c r="H228" s="32">
        <f t="shared" si="127"/>
        <v>121539.72099999999</v>
      </c>
      <c r="I228" s="32">
        <f t="shared" si="127"/>
        <v>119963.76700000001</v>
      </c>
      <c r="J228" s="32">
        <f t="shared" si="127"/>
        <v>111702.71600000001</v>
      </c>
      <c r="K228" s="32">
        <f t="shared" si="127"/>
        <v>105607.64499999999</v>
      </c>
      <c r="L228" s="32">
        <f t="shared" si="127"/>
        <v>116269.37399999998</v>
      </c>
      <c r="M228" s="32">
        <f t="shared" si="127"/>
        <v>99156.053999999989</v>
      </c>
      <c r="N228" s="32">
        <f t="shared" si="127"/>
        <v>88245.025999999998</v>
      </c>
    </row>
    <row r="229" spans="2:14" ht="18" customHeight="1">
      <c r="B229" s="23" t="s">
        <v>526</v>
      </c>
      <c r="C229" s="23" t="s">
        <v>528</v>
      </c>
      <c r="D229" s="23" t="s">
        <v>234</v>
      </c>
      <c r="E229" s="23" t="s">
        <v>28</v>
      </c>
      <c r="F229" s="32">
        <f t="shared" ref="F229:N229" si="128">SUM(F187,F186)</f>
        <v>3537.9229999999998</v>
      </c>
      <c r="G229" s="32">
        <f t="shared" si="128"/>
        <v>5269.0289999999995</v>
      </c>
      <c r="H229" s="32">
        <f t="shared" si="128"/>
        <v>4693.9610000000002</v>
      </c>
      <c r="I229" s="32">
        <f t="shared" si="128"/>
        <v>3884.2910000000002</v>
      </c>
      <c r="J229" s="32">
        <f t="shared" si="128"/>
        <v>6006.9210000000003</v>
      </c>
      <c r="K229" s="32">
        <f t="shared" si="128"/>
        <v>7935.82</v>
      </c>
      <c r="L229" s="32">
        <f t="shared" si="128"/>
        <v>18231.189999999999</v>
      </c>
      <c r="M229" s="32">
        <f t="shared" si="128"/>
        <v>10274.767</v>
      </c>
      <c r="N229" s="32">
        <f t="shared" si="128"/>
        <v>7587.4780000000001</v>
      </c>
    </row>
    <row r="230" spans="2:14" ht="18" customHeight="1">
      <c r="B230" s="23" t="s">
        <v>526</v>
      </c>
      <c r="C230" s="23" t="s">
        <v>528</v>
      </c>
      <c r="D230" s="23" t="s">
        <v>235</v>
      </c>
      <c r="E230" s="23" t="s">
        <v>28</v>
      </c>
      <c r="F230" s="32">
        <f t="shared" ref="F230:N230" si="129">F228-F229</f>
        <v>122143.921</v>
      </c>
      <c r="G230" s="32">
        <f t="shared" si="129"/>
        <v>120320.48800000001</v>
      </c>
      <c r="H230" s="32">
        <f t="shared" si="129"/>
        <v>116845.75999999999</v>
      </c>
      <c r="I230" s="32">
        <f t="shared" si="129"/>
        <v>116079.47600000001</v>
      </c>
      <c r="J230" s="32">
        <f t="shared" si="129"/>
        <v>105695.79500000001</v>
      </c>
      <c r="K230" s="32">
        <f t="shared" si="129"/>
        <v>97671.824999999983</v>
      </c>
      <c r="L230" s="32">
        <f t="shared" si="129"/>
        <v>98038.183999999979</v>
      </c>
      <c r="M230" s="32">
        <f t="shared" si="129"/>
        <v>88881.286999999982</v>
      </c>
      <c r="N230" s="32">
        <f t="shared" si="129"/>
        <v>80657.547999999995</v>
      </c>
    </row>
    <row r="231" spans="2:14" ht="24" customHeight="1">
      <c r="B231" s="25" t="s">
        <v>530</v>
      </c>
      <c r="C231" s="25" t="s">
        <v>531</v>
      </c>
      <c r="D231" s="25"/>
      <c r="E231" s="25"/>
      <c r="F231" s="26"/>
      <c r="G231" s="26"/>
      <c r="H231" s="26"/>
      <c r="I231" s="26"/>
      <c r="J231" s="26"/>
      <c r="K231" s="26"/>
      <c r="L231" s="26"/>
      <c r="M231" s="26"/>
      <c r="N231" s="26"/>
    </row>
    <row r="232" spans="2:14" ht="43.5" customHeight="1">
      <c r="B232" s="23" t="s">
        <v>530</v>
      </c>
      <c r="C232" s="23" t="s">
        <v>532</v>
      </c>
      <c r="D232" s="23" t="s">
        <v>504</v>
      </c>
      <c r="E232" s="23" t="s">
        <v>28</v>
      </c>
      <c r="F232" s="31">
        <v>19562.050999999999</v>
      </c>
      <c r="G232" s="31">
        <v>16999.102999999999</v>
      </c>
      <c r="H232" s="31">
        <v>15103.027</v>
      </c>
      <c r="I232" s="31">
        <v>12900.609</v>
      </c>
      <c r="J232" s="31">
        <v>11187.465</v>
      </c>
      <c r="K232" s="31">
        <v>11131.733</v>
      </c>
      <c r="L232" s="31">
        <v>12775.248</v>
      </c>
      <c r="M232" s="31">
        <v>15700.477999999999</v>
      </c>
      <c r="N232" s="31">
        <v>19142.491000000002</v>
      </c>
    </row>
    <row r="233" spans="2:14" ht="37.5" customHeight="1">
      <c r="B233" s="23" t="s">
        <v>530</v>
      </c>
      <c r="C233" s="23" t="s">
        <v>532</v>
      </c>
      <c r="D233" s="23" t="s">
        <v>510</v>
      </c>
      <c r="E233" s="23" t="s">
        <v>28</v>
      </c>
      <c r="F233" s="31">
        <v>4944.5720000000001</v>
      </c>
      <c r="G233" s="31">
        <v>4702.4269999999997</v>
      </c>
      <c r="H233" s="31">
        <v>3935.6320000000001</v>
      </c>
      <c r="I233" s="31">
        <v>3041.221</v>
      </c>
      <c r="J233" s="31">
        <v>3155.0680000000002</v>
      </c>
      <c r="K233" s="31">
        <v>3693.1239999999998</v>
      </c>
      <c r="L233" s="31">
        <v>4227.4260000000004</v>
      </c>
      <c r="M233" s="31">
        <v>3840.6460000000002</v>
      </c>
      <c r="N233" s="31">
        <v>4402.75</v>
      </c>
    </row>
    <row r="234" spans="2:14" ht="42" customHeight="1">
      <c r="B234" s="23" t="s">
        <v>530</v>
      </c>
      <c r="C234" s="23" t="s">
        <v>532</v>
      </c>
      <c r="D234" s="23" t="s">
        <v>533</v>
      </c>
      <c r="E234" s="23" t="s">
        <v>28</v>
      </c>
      <c r="F234" s="32">
        <f t="shared" ref="F234:N234" si="130">SUM(F194,F201)</f>
        <v>24506.623</v>
      </c>
      <c r="G234" s="32">
        <f t="shared" si="130"/>
        <v>21701.53</v>
      </c>
      <c r="H234" s="32">
        <f t="shared" si="130"/>
        <v>19038.659</v>
      </c>
      <c r="I234" s="32">
        <f t="shared" si="130"/>
        <v>15941.83</v>
      </c>
      <c r="J234" s="32">
        <f t="shared" si="130"/>
        <v>14342.532999999999</v>
      </c>
      <c r="K234" s="32">
        <f t="shared" si="130"/>
        <v>14824.857</v>
      </c>
      <c r="L234" s="32">
        <f t="shared" si="130"/>
        <v>17002.673999999999</v>
      </c>
      <c r="M234" s="32">
        <f t="shared" si="130"/>
        <v>19541.124</v>
      </c>
      <c r="N234" s="32">
        <f t="shared" si="130"/>
        <v>23545.241000000002</v>
      </c>
    </row>
    <row r="235" spans="2:14" ht="42.75" customHeight="1">
      <c r="B235" s="23" t="s">
        <v>530</v>
      </c>
      <c r="C235" s="23" t="s">
        <v>534</v>
      </c>
      <c r="D235" s="23" t="s">
        <v>197</v>
      </c>
      <c r="E235" s="23" t="s">
        <v>28</v>
      </c>
      <c r="F235" s="31"/>
      <c r="G235" s="31">
        <v>6837.1040000000003</v>
      </c>
      <c r="H235" s="31">
        <v>6438.5290000000005</v>
      </c>
      <c r="I235" s="31">
        <v>5517.8209999999999</v>
      </c>
      <c r="J235" s="31">
        <v>4769.0690000000004</v>
      </c>
      <c r="K235" s="31">
        <v>3807.7139999999999</v>
      </c>
      <c r="L235" s="31">
        <v>3576.5129999999999</v>
      </c>
      <c r="M235" s="31">
        <v>3675.5839999999998</v>
      </c>
      <c r="N235" s="31">
        <v>2804.165</v>
      </c>
    </row>
    <row r="236" spans="2:14" ht="24" customHeight="1">
      <c r="B236" s="25" t="s">
        <v>535</v>
      </c>
      <c r="C236" s="25" t="s">
        <v>536</v>
      </c>
      <c r="D236" s="25"/>
      <c r="E236" s="25"/>
      <c r="F236" s="26"/>
      <c r="G236" s="26"/>
      <c r="H236" s="26"/>
      <c r="I236" s="26"/>
      <c r="J236" s="26"/>
      <c r="K236" s="26"/>
      <c r="L236" s="26"/>
      <c r="M236" s="26"/>
      <c r="N236" s="26"/>
    </row>
    <row r="237" spans="2:14" ht="18" customHeight="1">
      <c r="B237" s="23" t="s">
        <v>535</v>
      </c>
      <c r="C237" s="23" t="s">
        <v>537</v>
      </c>
      <c r="D237" s="23" t="s">
        <v>216</v>
      </c>
      <c r="E237" s="23" t="s">
        <v>28</v>
      </c>
      <c r="F237" s="31">
        <v>7658.5690000000004</v>
      </c>
      <c r="G237" s="31">
        <v>4968.2669999999998</v>
      </c>
      <c r="H237" s="31">
        <v>333.61399999999998</v>
      </c>
      <c r="I237" s="31">
        <v>-7042.0140000000001</v>
      </c>
      <c r="J237" s="31">
        <v>8197.6560000000009</v>
      </c>
      <c r="K237" s="31">
        <v>4783.6009999999997</v>
      </c>
      <c r="L237" s="31">
        <v>-4433.8559999999998</v>
      </c>
      <c r="M237" s="31">
        <v>43666.029000000002</v>
      </c>
      <c r="N237" s="31">
        <v>35374.684000000001</v>
      </c>
    </row>
    <row r="238" spans="2:14" ht="18" customHeight="1">
      <c r="B238" s="23" t="s">
        <v>535</v>
      </c>
      <c r="C238" s="23" t="s">
        <v>537</v>
      </c>
      <c r="D238" s="23" t="s">
        <v>217</v>
      </c>
      <c r="E238" s="23" t="s">
        <v>28</v>
      </c>
      <c r="F238" s="31">
        <v>-2376.2139999999999</v>
      </c>
      <c r="G238" s="31">
        <v>-1699.6410000000001</v>
      </c>
      <c r="H238" s="31">
        <v>-72.061000000000007</v>
      </c>
      <c r="I238" s="31">
        <v>6102.5320000000002</v>
      </c>
      <c r="J238" s="31">
        <v>-6707.9679999999998</v>
      </c>
      <c r="K238" s="31">
        <v>-1520.742</v>
      </c>
      <c r="L238" s="31">
        <v>1240.6769999999999</v>
      </c>
      <c r="M238" s="31">
        <v>-13585.659</v>
      </c>
      <c r="N238" s="31">
        <v>-10908.159</v>
      </c>
    </row>
    <row r="239" spans="2:14" ht="18" customHeight="1">
      <c r="B239" s="23" t="s">
        <v>535</v>
      </c>
      <c r="C239" s="23" t="s">
        <v>537</v>
      </c>
      <c r="D239" s="23" t="s">
        <v>538</v>
      </c>
      <c r="E239" s="23" t="s">
        <v>31</v>
      </c>
      <c r="F239" s="34">
        <f t="shared" ref="F239:N239" si="131">IFERROR(-F238/F237,"")</f>
        <v>0.31026866768452432</v>
      </c>
      <c r="G239" s="34">
        <f t="shared" si="131"/>
        <v>0.34209936784798406</v>
      </c>
      <c r="H239" s="34">
        <f t="shared" si="131"/>
        <v>0.21600112705102306</v>
      </c>
      <c r="I239" s="34">
        <f t="shared" si="131"/>
        <v>0.86658901842569469</v>
      </c>
      <c r="J239" s="34">
        <f t="shared" si="131"/>
        <v>0.81827878603347093</v>
      </c>
      <c r="K239" s="34">
        <f t="shared" si="131"/>
        <v>0.31790736727415186</v>
      </c>
      <c r="L239" s="34">
        <f t="shared" si="131"/>
        <v>0.27981896570389297</v>
      </c>
      <c r="M239" s="34">
        <f t="shared" si="131"/>
        <v>0.31112650522904201</v>
      </c>
      <c r="N239" s="34">
        <f t="shared" si="131"/>
        <v>0.30836060613290567</v>
      </c>
    </row>
    <row r="240" spans="2:14" ht="18" customHeight="1">
      <c r="B240" s="23"/>
      <c r="C240" s="23"/>
      <c r="D240" s="23"/>
      <c r="E240" s="23"/>
      <c r="F240" s="34"/>
      <c r="G240" s="34"/>
      <c r="H240" s="34"/>
      <c r="I240" s="34"/>
      <c r="J240" s="34"/>
      <c r="K240" s="34"/>
      <c r="L240" s="34"/>
      <c r="M240" s="34"/>
      <c r="N240" s="34"/>
    </row>
    <row r="241" spans="2:14" ht="27.75" customHeight="1">
      <c r="B241" s="5" t="s">
        <v>539</v>
      </c>
      <c r="C241" s="6" t="s">
        <v>540</v>
      </c>
      <c r="D241" s="6"/>
      <c r="E241" s="6"/>
      <c r="F241" s="16">
        <v>43100</v>
      </c>
      <c r="G241" s="16">
        <f>EOMONTH(F241,12)</f>
        <v>43465</v>
      </c>
      <c r="H241" s="16">
        <f t="shared" ref="H241:N241" si="132">EOMONTH(G241,12)</f>
        <v>43830</v>
      </c>
      <c r="I241" s="16">
        <f t="shared" si="132"/>
        <v>44196</v>
      </c>
      <c r="J241" s="16">
        <f t="shared" si="132"/>
        <v>44561</v>
      </c>
      <c r="K241" s="16">
        <f t="shared" si="132"/>
        <v>44926</v>
      </c>
      <c r="L241" s="16">
        <f t="shared" si="132"/>
        <v>45291</v>
      </c>
      <c r="M241" s="105">
        <f t="shared" si="132"/>
        <v>45657</v>
      </c>
      <c r="N241" s="105">
        <f t="shared" si="132"/>
        <v>46022</v>
      </c>
    </row>
    <row r="242" spans="2:14" ht="24" customHeight="1">
      <c r="B242" s="20"/>
      <c r="C242" s="21"/>
      <c r="D242" s="21"/>
      <c r="E242" s="21"/>
      <c r="F242" s="19" t="s">
        <v>107</v>
      </c>
      <c r="G242" s="19" t="s">
        <v>108</v>
      </c>
      <c r="H242" s="19" t="s">
        <v>109</v>
      </c>
      <c r="I242" s="19" t="s">
        <v>110</v>
      </c>
      <c r="J242" s="19" t="s">
        <v>111</v>
      </c>
      <c r="K242" s="19" t="s">
        <v>112</v>
      </c>
      <c r="L242" s="19" t="s">
        <v>113</v>
      </c>
      <c r="M242" s="106" t="s">
        <v>114</v>
      </c>
      <c r="N242" s="106" t="s">
        <v>115</v>
      </c>
    </row>
    <row r="243" spans="2:14" ht="18" customHeight="1">
      <c r="B243" s="23" t="s">
        <v>539</v>
      </c>
      <c r="C243" s="23" t="s">
        <v>541</v>
      </c>
      <c r="D243" s="23" t="s">
        <v>542</v>
      </c>
      <c r="E243" s="23" t="s">
        <v>28</v>
      </c>
      <c r="F243" s="31"/>
      <c r="G243" s="31">
        <v>37348.970999999998</v>
      </c>
      <c r="H243" s="31">
        <v>35085.64</v>
      </c>
      <c r="I243" s="31">
        <v>31497.107</v>
      </c>
      <c r="J243" s="31">
        <v>38967.118999999999</v>
      </c>
      <c r="K243" s="31">
        <v>32996.680999999997</v>
      </c>
      <c r="L243" s="31">
        <v>37544.510999999999</v>
      </c>
      <c r="M243" s="31">
        <v>32581.946</v>
      </c>
      <c r="N243" s="31">
        <v>48233.137999999999</v>
      </c>
    </row>
    <row r="244" spans="2:14" ht="18" customHeight="1">
      <c r="B244" s="23" t="s">
        <v>539</v>
      </c>
      <c r="C244" s="23" t="s">
        <v>541</v>
      </c>
      <c r="D244" s="23" t="s">
        <v>543</v>
      </c>
      <c r="E244" s="23" t="s">
        <v>28</v>
      </c>
      <c r="F244" s="31"/>
      <c r="G244" s="31">
        <v>-62.454000000000001</v>
      </c>
      <c r="H244" s="31">
        <v>-176.54</v>
      </c>
      <c r="I244" s="31">
        <v>-87.034000000000006</v>
      </c>
      <c r="J244" s="31">
        <v>-74.747</v>
      </c>
      <c r="K244" s="31">
        <v>-236.447</v>
      </c>
      <c r="L244" s="31">
        <v>-137.47</v>
      </c>
      <c r="M244" s="31">
        <v>-597.72500000000002</v>
      </c>
      <c r="N244" s="31">
        <v>-4822.826</v>
      </c>
    </row>
    <row r="245" spans="2:14" ht="18" customHeight="1">
      <c r="B245" s="23" t="s">
        <v>539</v>
      </c>
      <c r="C245" s="23" t="s">
        <v>541</v>
      </c>
      <c r="D245" s="23" t="s">
        <v>544</v>
      </c>
      <c r="E245" s="23" t="s">
        <v>28</v>
      </c>
      <c r="F245" s="31"/>
      <c r="G245" s="31">
        <v>108.563</v>
      </c>
      <c r="H245" s="31">
        <v>118.02</v>
      </c>
      <c r="I245" s="31">
        <v>120.938</v>
      </c>
      <c r="J245" s="31">
        <v>163.49299999999999</v>
      </c>
      <c r="K245" s="31">
        <v>398.70800000000003</v>
      </c>
      <c r="L245" s="31">
        <v>469.238</v>
      </c>
      <c r="M245" s="31">
        <v>1525.722</v>
      </c>
      <c r="N245" s="31">
        <v>590.60799999999995</v>
      </c>
    </row>
    <row r="246" spans="2:14" ht="18" customHeight="1">
      <c r="B246" s="23" t="s">
        <v>539</v>
      </c>
      <c r="C246" s="23" t="s">
        <v>541</v>
      </c>
      <c r="D246" s="23" t="s">
        <v>545</v>
      </c>
      <c r="E246" s="23" t="s">
        <v>28</v>
      </c>
      <c r="F246" s="31"/>
      <c r="G246" s="31"/>
      <c r="H246" s="31">
        <v>-120.196</v>
      </c>
      <c r="I246" s="31">
        <v>-60.643999999999998</v>
      </c>
      <c r="J246" s="31">
        <v>-66.846000000000004</v>
      </c>
      <c r="K246" s="31">
        <v>-178.148</v>
      </c>
      <c r="L246" s="31">
        <v>-248.04300000000001</v>
      </c>
      <c r="M246" s="31">
        <v>-457.20800000000003</v>
      </c>
      <c r="N246" s="31">
        <v>-176.001</v>
      </c>
    </row>
    <row r="247" spans="2:14" ht="18" customHeight="1">
      <c r="B247" s="23" t="s">
        <v>539</v>
      </c>
      <c r="C247" s="23" t="s">
        <v>541</v>
      </c>
      <c r="D247" s="23" t="s">
        <v>546</v>
      </c>
      <c r="E247" s="23" t="s">
        <v>28</v>
      </c>
      <c r="F247" s="31"/>
      <c r="G247" s="31"/>
      <c r="H247" s="31">
        <v>0</v>
      </c>
      <c r="I247" s="31">
        <v>-152.489</v>
      </c>
      <c r="J247" s="31">
        <v>-145.46899999999999</v>
      </c>
      <c r="K247" s="31">
        <v>-124.02200000000001</v>
      </c>
      <c r="L247" s="31">
        <v>-102.983</v>
      </c>
      <c r="M247" s="31">
        <v>-76.813000000000002</v>
      </c>
      <c r="N247" s="31">
        <v>-67.864000000000004</v>
      </c>
    </row>
    <row r="248" spans="2:14" ht="18" customHeight="1">
      <c r="B248" s="23" t="s">
        <v>539</v>
      </c>
      <c r="C248" s="23" t="s">
        <v>541</v>
      </c>
      <c r="D248" s="23" t="s">
        <v>547</v>
      </c>
      <c r="E248" s="23" t="s">
        <v>28</v>
      </c>
      <c r="F248" s="31"/>
      <c r="G248" s="31">
        <v>-9128.43</v>
      </c>
      <c r="H248" s="31">
        <v>-8067.893</v>
      </c>
      <c r="I248" s="31">
        <v>-7756.6670000000004</v>
      </c>
      <c r="J248" s="31">
        <v>-5353.7479999999996</v>
      </c>
      <c r="K248" s="31">
        <v>-4303.42</v>
      </c>
      <c r="L248" s="31">
        <v>-4873.4870000000001</v>
      </c>
      <c r="M248" s="31">
        <v>-4601.7060000000001</v>
      </c>
      <c r="N248" s="31">
        <v>-3989.1170000000002</v>
      </c>
    </row>
    <row r="249" spans="2:14" ht="18" customHeight="1">
      <c r="B249" s="23" t="s">
        <v>539</v>
      </c>
      <c r="C249" s="23" t="s">
        <v>541</v>
      </c>
      <c r="D249" s="23" t="s">
        <v>548</v>
      </c>
      <c r="E249" s="23" t="s">
        <v>28</v>
      </c>
      <c r="F249" s="31"/>
      <c r="G249" s="31">
        <v>28266.65</v>
      </c>
      <c r="H249" s="31">
        <v>26839.030999999999</v>
      </c>
      <c r="I249" s="31">
        <v>23561.210999999999</v>
      </c>
      <c r="J249" s="31">
        <v>33489.802000000003</v>
      </c>
      <c r="K249" s="31">
        <v>28553.351999999999</v>
      </c>
      <c r="L249" s="31">
        <v>32651.766</v>
      </c>
      <c r="M249" s="31">
        <v>28374.216</v>
      </c>
      <c r="N249" s="31">
        <v>39767.938000000002</v>
      </c>
    </row>
    <row r="250" spans="2:14" ht="18" customHeight="1">
      <c r="B250" s="23" t="s">
        <v>539</v>
      </c>
      <c r="C250" s="23" t="s">
        <v>541</v>
      </c>
      <c r="D250" s="23" t="s">
        <v>549</v>
      </c>
      <c r="E250" s="23" t="s">
        <v>28</v>
      </c>
      <c r="F250" s="31"/>
      <c r="G250" s="31">
        <v>-25434.422999999999</v>
      </c>
      <c r="H250" s="31">
        <v>-19978.3</v>
      </c>
      <c r="I250" s="31">
        <v>-16195.49</v>
      </c>
      <c r="J250" s="31">
        <v>-18031.63</v>
      </c>
      <c r="K250" s="31">
        <v>-12275.326999999999</v>
      </c>
      <c r="L250" s="31">
        <v>-12300.538</v>
      </c>
      <c r="M250" s="31">
        <v>-24382.154999999999</v>
      </c>
      <c r="N250" s="31">
        <v>-29512.68</v>
      </c>
    </row>
    <row r="251" spans="2:14" ht="18" customHeight="1">
      <c r="B251" s="23" t="s">
        <v>539</v>
      </c>
      <c r="C251" s="23" t="s">
        <v>541</v>
      </c>
      <c r="D251" s="23" t="s">
        <v>550</v>
      </c>
      <c r="E251" s="23" t="s">
        <v>28</v>
      </c>
      <c r="F251" s="31"/>
      <c r="G251" s="31">
        <v>-2457.1610000000001</v>
      </c>
      <c r="H251" s="31">
        <v>-974.99</v>
      </c>
      <c r="I251" s="31">
        <v>-112.111</v>
      </c>
      <c r="J251" s="31">
        <v>-250.81800000000001</v>
      </c>
      <c r="K251" s="31">
        <v>0</v>
      </c>
      <c r="L251" s="31">
        <v>-1616.8679999999999</v>
      </c>
      <c r="M251" s="31">
        <v>-557.37800000000004</v>
      </c>
      <c r="N251" s="31">
        <v>-177.24199999999999</v>
      </c>
    </row>
    <row r="252" spans="2:14" ht="18" customHeight="1">
      <c r="B252" s="23" t="s">
        <v>539</v>
      </c>
      <c r="C252" s="23" t="s">
        <v>541</v>
      </c>
      <c r="D252" s="23" t="s">
        <v>551</v>
      </c>
      <c r="E252" s="23" t="s">
        <v>28</v>
      </c>
      <c r="F252" s="31"/>
      <c r="G252" s="31">
        <v>-8.5739999999999998</v>
      </c>
      <c r="H252" s="31">
        <v>-99.12</v>
      </c>
      <c r="I252" s="31">
        <v>0</v>
      </c>
      <c r="J252" s="31">
        <v>0</v>
      </c>
      <c r="K252" s="31">
        <v>-11</v>
      </c>
      <c r="L252" s="31">
        <v>-75.67</v>
      </c>
      <c r="M252" s="31">
        <v>0</v>
      </c>
      <c r="N252" s="31">
        <v>0</v>
      </c>
    </row>
    <row r="253" spans="2:14" ht="18" customHeight="1">
      <c r="B253" s="23" t="s">
        <v>539</v>
      </c>
      <c r="C253" s="23" t="s">
        <v>541</v>
      </c>
      <c r="D253" s="23" t="s">
        <v>552</v>
      </c>
      <c r="E253" s="23" t="s">
        <v>28</v>
      </c>
      <c r="F253" s="31"/>
      <c r="G253" s="31">
        <v>166.934</v>
      </c>
      <c r="H253" s="31">
        <v>104.896</v>
      </c>
      <c r="I253" s="31">
        <v>66.787000000000006</v>
      </c>
      <c r="J253" s="31">
        <v>52.954999999999998</v>
      </c>
      <c r="K253" s="31">
        <v>34.680999999999997</v>
      </c>
      <c r="L253" s="31">
        <v>233.13</v>
      </c>
      <c r="M253" s="31">
        <v>102.123</v>
      </c>
      <c r="N253" s="31">
        <v>92.864999999999995</v>
      </c>
    </row>
    <row r="254" spans="2:14" ht="18" customHeight="1">
      <c r="B254" s="23" t="s">
        <v>539</v>
      </c>
      <c r="C254" s="23" t="s">
        <v>541</v>
      </c>
      <c r="D254" s="23" t="s">
        <v>553</v>
      </c>
      <c r="E254" s="23" t="s">
        <v>28</v>
      </c>
      <c r="F254" s="31"/>
      <c r="G254" s="31">
        <v>-27733.223999999998</v>
      </c>
      <c r="H254" s="31">
        <v>-20947.513999999999</v>
      </c>
      <c r="I254" s="31">
        <v>-16240.814</v>
      </c>
      <c r="J254" s="31">
        <v>-18229.492999999999</v>
      </c>
      <c r="K254" s="31">
        <v>-12251.646000000001</v>
      </c>
      <c r="L254" s="31">
        <v>-13759.946</v>
      </c>
      <c r="M254" s="31">
        <v>-24837.41</v>
      </c>
      <c r="N254" s="31">
        <v>-29597.057000000001</v>
      </c>
    </row>
    <row r="255" spans="2:14" ht="18" customHeight="1">
      <c r="B255" s="23" t="s">
        <v>539</v>
      </c>
      <c r="C255" s="23" t="s">
        <v>541</v>
      </c>
      <c r="D255" s="23" t="s">
        <v>554</v>
      </c>
      <c r="E255" s="23" t="s">
        <v>28</v>
      </c>
      <c r="F255" s="31"/>
      <c r="G255" s="31">
        <v>-12852.887000000001</v>
      </c>
      <c r="H255" s="31">
        <v>-13132.712</v>
      </c>
      <c r="I255" s="31">
        <v>-12400.317999999999</v>
      </c>
      <c r="J255" s="31">
        <v>-21286.356</v>
      </c>
      <c r="K255" s="31">
        <v>-15050.964</v>
      </c>
      <c r="L255" s="31">
        <v>-10620.802</v>
      </c>
      <c r="M255" s="31">
        <v>-10982.040999999999</v>
      </c>
      <c r="N255" s="31">
        <v>-18921.858</v>
      </c>
    </row>
    <row r="256" spans="2:14" ht="18" customHeight="1">
      <c r="B256" s="23" t="s">
        <v>539</v>
      </c>
      <c r="C256" s="23" t="s">
        <v>541</v>
      </c>
      <c r="D256" s="23" t="s">
        <v>555</v>
      </c>
      <c r="E256" s="23" t="s">
        <v>28</v>
      </c>
      <c r="F256" s="31"/>
      <c r="G256" s="31">
        <v>6345.2209999999995</v>
      </c>
      <c r="H256" s="31">
        <v>9559.0720000000001</v>
      </c>
      <c r="I256" s="31">
        <v>14632.483</v>
      </c>
      <c r="J256" s="31">
        <v>8520.7739999999994</v>
      </c>
      <c r="K256" s="31">
        <v>1009.123</v>
      </c>
      <c r="L256" s="31">
        <v>2354.989</v>
      </c>
      <c r="M256" s="31">
        <v>81.451999999999998</v>
      </c>
      <c r="N256" s="31">
        <v>7364.9560000000001</v>
      </c>
    </row>
    <row r="257" spans="2:14" ht="18" customHeight="1">
      <c r="B257" s="23" t="s">
        <v>539</v>
      </c>
      <c r="C257" s="23" t="s">
        <v>541</v>
      </c>
      <c r="D257" s="23" t="s">
        <v>556</v>
      </c>
      <c r="E257" s="23" t="s">
        <v>28</v>
      </c>
      <c r="F257" s="31"/>
      <c r="G257" s="31">
        <v>0</v>
      </c>
      <c r="H257" s="31">
        <v>0</v>
      </c>
      <c r="I257" s="31">
        <v>-248.04</v>
      </c>
      <c r="J257" s="31">
        <v>-337.70800000000003</v>
      </c>
      <c r="K257" s="31">
        <v>-297.50599999999997</v>
      </c>
      <c r="L257" s="31">
        <v>-318.74799999999999</v>
      </c>
      <c r="M257" s="31">
        <v>-302.39400000000001</v>
      </c>
      <c r="N257" s="31">
        <v>-437.66800000000001</v>
      </c>
    </row>
    <row r="258" spans="2:14" ht="18" customHeight="1">
      <c r="B258" s="23" t="s">
        <v>539</v>
      </c>
      <c r="C258" s="23" t="s">
        <v>541</v>
      </c>
      <c r="D258" s="23" t="s">
        <v>557</v>
      </c>
      <c r="E258" s="23" t="s">
        <v>28</v>
      </c>
      <c r="F258" s="31"/>
      <c r="G258" s="31">
        <v>-478.49599999999998</v>
      </c>
      <c r="H258" s="31">
        <v>-52.892000000000003</v>
      </c>
      <c r="I258" s="31">
        <v>-6.7530000000000001</v>
      </c>
      <c r="J258" s="31">
        <v>-14.769</v>
      </c>
      <c r="K258" s="31">
        <v>-37.143000000000001</v>
      </c>
      <c r="L258" s="31">
        <v>-8.4879999999999995</v>
      </c>
      <c r="M258" s="31">
        <v>-5.3520000000000003</v>
      </c>
      <c r="N258" s="31">
        <v>-874.59199999999998</v>
      </c>
    </row>
    <row r="259" spans="2:14" ht="18" customHeight="1">
      <c r="B259" s="23" t="s">
        <v>539</v>
      </c>
      <c r="C259" s="23" t="s">
        <v>541</v>
      </c>
      <c r="D259" s="23" t="s">
        <v>558</v>
      </c>
      <c r="E259" s="23" t="s">
        <v>28</v>
      </c>
      <c r="F259" s="31"/>
      <c r="G259" s="31">
        <v>-6986.1620000000003</v>
      </c>
      <c r="H259" s="31">
        <v>-3626.5320000000002</v>
      </c>
      <c r="I259" s="31">
        <v>1977.3720000000001</v>
      </c>
      <c r="J259" s="31">
        <v>-13118.058999999999</v>
      </c>
      <c r="K259" s="31">
        <v>-14376.49</v>
      </c>
      <c r="L259" s="31">
        <v>-8593.0490000000009</v>
      </c>
      <c r="M259" s="31">
        <v>-11208.334999999999</v>
      </c>
      <c r="N259" s="31">
        <v>-12869.162</v>
      </c>
    </row>
    <row r="260" spans="2:14" ht="18" customHeight="1">
      <c r="B260" s="23" t="s">
        <v>539</v>
      </c>
      <c r="C260" s="23" t="s">
        <v>541</v>
      </c>
      <c r="D260" s="23" t="s">
        <v>559</v>
      </c>
      <c r="E260" s="23" t="s">
        <v>28</v>
      </c>
      <c r="F260" s="31"/>
      <c r="G260" s="31">
        <v>-6452.7359999999999</v>
      </c>
      <c r="H260" s="31">
        <v>2176.672</v>
      </c>
      <c r="I260" s="31">
        <v>9297.7690000000002</v>
      </c>
      <c r="J260" s="31">
        <v>2142.25</v>
      </c>
      <c r="K260" s="31">
        <v>1925.2159999999999</v>
      </c>
      <c r="L260" s="31">
        <v>10298.771000000001</v>
      </c>
      <c r="M260" s="31">
        <v>-7671.5290000000005</v>
      </c>
      <c r="N260" s="31">
        <v>-2698.2809999999999</v>
      </c>
    </row>
    <row r="261" spans="2:14" ht="18" customHeight="1">
      <c r="B261" s="23" t="s">
        <v>539</v>
      </c>
      <c r="C261" s="23" t="s">
        <v>541</v>
      </c>
      <c r="D261" s="23" t="s">
        <v>560</v>
      </c>
      <c r="E261" s="23" t="s">
        <v>28</v>
      </c>
      <c r="F261" s="31"/>
      <c r="G261" s="31">
        <v>-1150.4100000000001</v>
      </c>
      <c r="H261" s="31">
        <v>-7603.1459999999997</v>
      </c>
      <c r="I261" s="31">
        <v>-5426.4740000000002</v>
      </c>
      <c r="J261" s="31">
        <v>3908.4810000000002</v>
      </c>
      <c r="K261" s="31">
        <v>6053.3329999999996</v>
      </c>
      <c r="L261" s="31">
        <v>8081.268</v>
      </c>
      <c r="M261" s="31">
        <v>18430.616000000002</v>
      </c>
      <c r="N261" s="31">
        <v>10353.44</v>
      </c>
    </row>
    <row r="262" spans="2:14" ht="18" customHeight="1">
      <c r="B262" s="23" t="s">
        <v>539</v>
      </c>
      <c r="C262" s="23" t="s">
        <v>541</v>
      </c>
      <c r="D262" s="23" t="s">
        <v>561</v>
      </c>
      <c r="E262" s="23" t="s">
        <v>28</v>
      </c>
      <c r="F262" s="31"/>
      <c r="G262" s="31">
        <v>0</v>
      </c>
      <c r="H262" s="31">
        <v>0</v>
      </c>
      <c r="I262" s="31">
        <v>37.186</v>
      </c>
      <c r="J262" s="31">
        <v>2.6019999999999999</v>
      </c>
      <c r="K262" s="31">
        <v>102.71899999999999</v>
      </c>
      <c r="L262" s="31">
        <v>50.576999999999998</v>
      </c>
      <c r="M262" s="31">
        <v>-405.64699999999999</v>
      </c>
      <c r="N262" s="31">
        <v>30.28</v>
      </c>
    </row>
    <row r="263" spans="2:14" ht="18" customHeight="1">
      <c r="B263" s="23" t="s">
        <v>539</v>
      </c>
      <c r="C263" s="23" t="s">
        <v>541</v>
      </c>
      <c r="D263" s="23" t="s">
        <v>562</v>
      </c>
      <c r="E263" s="23" t="s">
        <v>28</v>
      </c>
      <c r="F263" s="31"/>
      <c r="G263" s="31">
        <v>-7603.1459999999997</v>
      </c>
      <c r="H263" s="31">
        <v>-5426.4740000000002</v>
      </c>
      <c r="I263" s="31">
        <v>3908.4810000000002</v>
      </c>
      <c r="J263" s="31">
        <v>6053.3329999999996</v>
      </c>
      <c r="K263" s="31">
        <v>8081.268</v>
      </c>
      <c r="L263" s="31">
        <v>18430.616000000002</v>
      </c>
      <c r="M263" s="31">
        <v>10353.44</v>
      </c>
      <c r="N263" s="31">
        <v>7685.4390000000003</v>
      </c>
    </row>
    <row r="264" spans="2:14" ht="32.25" customHeight="1">
      <c r="B264" s="25" t="s">
        <v>563</v>
      </c>
      <c r="C264" s="25" t="s">
        <v>564</v>
      </c>
      <c r="D264" s="25"/>
      <c r="E264" s="25"/>
      <c r="F264" s="26"/>
      <c r="G264" s="26"/>
      <c r="H264" s="26"/>
      <c r="I264" s="26"/>
      <c r="J264" s="26"/>
      <c r="K264" s="26"/>
      <c r="L264" s="26"/>
      <c r="M264" s="26"/>
      <c r="N264" s="26"/>
    </row>
    <row r="265" spans="2:14" ht="23.25" customHeight="1">
      <c r="B265" s="23" t="s">
        <v>563</v>
      </c>
      <c r="C265" s="23" t="s">
        <v>565</v>
      </c>
      <c r="D265" s="23" t="s">
        <v>499</v>
      </c>
      <c r="E265" s="23" t="s">
        <v>28</v>
      </c>
      <c r="F265" s="31">
        <v>4878.6670000000004</v>
      </c>
      <c r="G265" s="31">
        <v>4878.6670000000004</v>
      </c>
      <c r="H265" s="31">
        <v>4878.6670000000004</v>
      </c>
      <c r="I265" s="31">
        <v>4878.6670000000004</v>
      </c>
      <c r="J265" s="31">
        <v>4878.6670000000004</v>
      </c>
      <c r="K265" s="31">
        <v>4878.6670000000004</v>
      </c>
      <c r="L265" s="31">
        <v>4878.6670000000004</v>
      </c>
      <c r="M265" s="31">
        <v>4878.6670000000004</v>
      </c>
      <c r="N265" s="31">
        <v>4878.6670000000004</v>
      </c>
    </row>
    <row r="266" spans="2:14" ht="33.75" customHeight="1">
      <c r="B266" s="23" t="s">
        <v>563</v>
      </c>
      <c r="C266" s="23" t="s">
        <v>565</v>
      </c>
      <c r="D266" s="23" t="s">
        <v>566</v>
      </c>
      <c r="E266" s="23" t="s">
        <v>25</v>
      </c>
      <c r="F266" s="33">
        <f t="shared" ref="F266:N266" si="133">IFERROR(F265/2.5,"")</f>
        <v>1951.4668000000001</v>
      </c>
      <c r="G266" s="33">
        <f t="shared" si="133"/>
        <v>1951.4668000000001</v>
      </c>
      <c r="H266" s="33">
        <f t="shared" si="133"/>
        <v>1951.4668000000001</v>
      </c>
      <c r="I266" s="33">
        <f t="shared" si="133"/>
        <v>1951.4668000000001</v>
      </c>
      <c r="J266" s="33">
        <f t="shared" si="133"/>
        <v>1951.4668000000001</v>
      </c>
      <c r="K266" s="33">
        <f t="shared" si="133"/>
        <v>1951.4668000000001</v>
      </c>
      <c r="L266" s="33">
        <f t="shared" si="133"/>
        <v>1951.4668000000001</v>
      </c>
      <c r="M266" s="33">
        <f t="shared" si="133"/>
        <v>1951.4668000000001</v>
      </c>
      <c r="N266" s="33">
        <f t="shared" si="133"/>
        <v>1951.4668000000001</v>
      </c>
    </row>
    <row r="267" spans="2:14" ht="32.25" customHeight="1">
      <c r="B267" s="23" t="s">
        <v>563</v>
      </c>
      <c r="C267" s="23" t="s">
        <v>565</v>
      </c>
      <c r="D267" s="23" t="s">
        <v>219</v>
      </c>
      <c r="E267" s="23" t="s">
        <v>22</v>
      </c>
      <c r="F267" s="29">
        <v>2.71</v>
      </c>
      <c r="G267" s="29">
        <v>1.67</v>
      </c>
      <c r="H267" s="29">
        <v>0.13</v>
      </c>
      <c r="I267" s="29">
        <v>-0.48</v>
      </c>
      <c r="J267" s="29">
        <v>0.76</v>
      </c>
      <c r="K267" s="29">
        <v>1.67</v>
      </c>
      <c r="L267" s="29">
        <v>-1.64</v>
      </c>
      <c r="M267" s="29">
        <v>15.41</v>
      </c>
      <c r="N267" s="29">
        <v>12.54</v>
      </c>
    </row>
    <row r="268" spans="2:14" ht="32.25" customHeight="1">
      <c r="B268" s="23" t="s">
        <v>563</v>
      </c>
      <c r="C268" s="23" t="s">
        <v>567</v>
      </c>
      <c r="D268" s="23" t="s">
        <v>568</v>
      </c>
      <c r="E268" s="23" t="s">
        <v>28</v>
      </c>
      <c r="F268" s="31">
        <v>-585.44000000000005</v>
      </c>
      <c r="G268" s="31">
        <v>-975.73400000000004</v>
      </c>
      <c r="H268" s="31">
        <v>0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-1756.32</v>
      </c>
    </row>
    <row r="269" spans="2:14" ht="37.5" customHeight="1">
      <c r="B269" s="23" t="s">
        <v>563</v>
      </c>
      <c r="C269" s="23" t="s">
        <v>567</v>
      </c>
      <c r="D269" s="23" t="s">
        <v>569</v>
      </c>
      <c r="E269" s="23" t="s">
        <v>22</v>
      </c>
      <c r="F269" s="33">
        <f t="shared" ref="F269:N269" si="134">IFERROR(ABS(F268)/F266,"")</f>
        <v>0.29999997950259777</v>
      </c>
      <c r="G269" s="33">
        <f t="shared" si="134"/>
        <v>0.50000030746103385</v>
      </c>
      <c r="H269" s="33">
        <f t="shared" si="134"/>
        <v>0</v>
      </c>
      <c r="I269" s="33">
        <f t="shared" si="134"/>
        <v>0</v>
      </c>
      <c r="J269" s="33">
        <f t="shared" si="134"/>
        <v>0</v>
      </c>
      <c r="K269" s="33">
        <f t="shared" si="134"/>
        <v>0</v>
      </c>
      <c r="L269" s="33">
        <f t="shared" si="134"/>
        <v>0</v>
      </c>
      <c r="M269" s="33">
        <f t="shared" si="134"/>
        <v>0</v>
      </c>
      <c r="N269" s="33">
        <f t="shared" si="134"/>
        <v>0.89999993850779314</v>
      </c>
    </row>
    <row r="270" spans="2:14" ht="24" customHeight="1">
      <c r="B270" s="25" t="s">
        <v>570</v>
      </c>
      <c r="C270" s="25" t="s">
        <v>571</v>
      </c>
      <c r="D270" s="25"/>
      <c r="E270" s="25"/>
      <c r="F270" s="26"/>
      <c r="G270" s="26"/>
      <c r="H270" s="26"/>
      <c r="I270" s="26"/>
      <c r="J270" s="26"/>
      <c r="K270" s="26"/>
      <c r="L270" s="26"/>
      <c r="M270" s="26"/>
      <c r="N270" s="26"/>
    </row>
    <row r="271" spans="2:14" ht="18" customHeight="1">
      <c r="B271" s="23" t="s">
        <v>570</v>
      </c>
      <c r="C271" s="23" t="s">
        <v>572</v>
      </c>
      <c r="D271" s="23" t="s">
        <v>573</v>
      </c>
      <c r="E271" s="23" t="s">
        <v>31</v>
      </c>
      <c r="F271" s="34" t="str">
        <f>""</f>
        <v/>
      </c>
      <c r="G271" s="34">
        <f>IFERROR(G71/F71-1,"")</f>
        <v>8.8094285456120636E-2</v>
      </c>
      <c r="H271" s="34">
        <f t="shared" ref="H271:N271" si="135">IFERROR(H71/G71-1,"")</f>
        <v>1.3410920685070993E-2</v>
      </c>
      <c r="I271" s="34">
        <f t="shared" si="135"/>
        <v>8.8413861926595061E-4</v>
      </c>
      <c r="J271" s="34">
        <f t="shared" si="135"/>
        <v>8.150320382319487E-2</v>
      </c>
      <c r="K271" s="34">
        <f t="shared" si="135"/>
        <v>9.1824072096228448E-2</v>
      </c>
      <c r="L271" s="34">
        <f t="shared" si="135"/>
        <v>0.21367019203810056</v>
      </c>
      <c r="M271" s="34">
        <f t="shared" si="135"/>
        <v>0.21022988700392631</v>
      </c>
      <c r="N271" s="34">
        <f t="shared" si="135"/>
        <v>-5.1223800398018215E-2</v>
      </c>
    </row>
    <row r="272" spans="2:14" ht="18" customHeight="1">
      <c r="B272" s="23" t="s">
        <v>570</v>
      </c>
      <c r="C272" s="23" t="s">
        <v>572</v>
      </c>
      <c r="D272" s="23" t="s">
        <v>574</v>
      </c>
      <c r="E272" s="23" t="s">
        <v>31</v>
      </c>
      <c r="F272" s="34" t="str">
        <f>""</f>
        <v/>
      </c>
      <c r="G272" s="34">
        <f>IFERROR(G15/F15-1,"")</f>
        <v>2.2606382978723305E-2</v>
      </c>
      <c r="H272" s="34">
        <f t="shared" ref="H272:N272" si="136">IFERROR(H15/G15-1,"")</f>
        <v>3.6647357843716755E-2</v>
      </c>
      <c r="I272" s="34">
        <f t="shared" si="136"/>
        <v>4.5615235488649652E-4</v>
      </c>
      <c r="J272" s="34">
        <f t="shared" si="136"/>
        <v>4.9014020289524618E-2</v>
      </c>
      <c r="K272" s="34">
        <f t="shared" si="136"/>
        <v>6.6282733891122492E-2</v>
      </c>
      <c r="L272" s="34">
        <f t="shared" si="136"/>
        <v>4.2800366860287431E-2</v>
      </c>
      <c r="M272" s="34">
        <f t="shared" si="136"/>
        <v>2.7655623961692521E-2</v>
      </c>
      <c r="N272" s="34">
        <f t="shared" si="136"/>
        <v>8.4347660707493333E-2</v>
      </c>
    </row>
    <row r="273" spans="2:14" ht="18" customHeight="1">
      <c r="B273" s="23" t="s">
        <v>570</v>
      </c>
      <c r="C273" s="23" t="s">
        <v>575</v>
      </c>
      <c r="D273" s="23" t="s">
        <v>208</v>
      </c>
      <c r="E273" s="23" t="s">
        <v>31</v>
      </c>
      <c r="F273" s="34" t="str">
        <f t="shared" ref="F273:N273" si="137">IFERROR(F116/F71,"")</f>
        <v/>
      </c>
      <c r="G273" s="34">
        <f t="shared" si="137"/>
        <v>0.35986348165574794</v>
      </c>
      <c r="H273" s="34">
        <f t="shared" si="137"/>
        <v>0.32288046120648112</v>
      </c>
      <c r="I273" s="34">
        <f t="shared" si="137"/>
        <v>0.34338653800375307</v>
      </c>
      <c r="J273" s="34">
        <f t="shared" si="137"/>
        <v>0.34623735611820483</v>
      </c>
      <c r="K273" s="34">
        <f t="shared" si="137"/>
        <v>0.25424696333257901</v>
      </c>
      <c r="L273" s="34">
        <f t="shared" si="137"/>
        <v>0.24819706986288892</v>
      </c>
      <c r="M273" s="34">
        <f t="shared" si="137"/>
        <v>0.3483750428131317</v>
      </c>
      <c r="N273" s="34">
        <f t="shared" si="137"/>
        <v>0.34029281531566774</v>
      </c>
    </row>
    <row r="274" spans="2:14" ht="18" customHeight="1">
      <c r="B274" s="23" t="s">
        <v>570</v>
      </c>
      <c r="C274" s="23" t="s">
        <v>575</v>
      </c>
      <c r="D274" s="23" t="s">
        <v>576</v>
      </c>
      <c r="E274" s="23" t="s">
        <v>31</v>
      </c>
      <c r="F274" s="34">
        <f t="shared" ref="F274:N274" si="138">IFERROR(F120/F71,"")</f>
        <v>0.11307171879408925</v>
      </c>
      <c r="G274" s="34">
        <f t="shared" si="138"/>
        <v>9.0697869203941267E-2</v>
      </c>
      <c r="H274" s="34">
        <f t="shared" si="138"/>
        <v>7.9096333495209489E-2</v>
      </c>
      <c r="I274" s="34">
        <f t="shared" si="138"/>
        <v>3.9864038195447968E-2</v>
      </c>
      <c r="J274" s="34">
        <f t="shared" si="138"/>
        <v>0.11854680006928968</v>
      </c>
      <c r="K274" s="34">
        <f t="shared" si="138"/>
        <v>0.10897086373568099</v>
      </c>
      <c r="L274" s="34">
        <f t="shared" si="138"/>
        <v>0.10060704609464129</v>
      </c>
      <c r="M274" s="34">
        <f t="shared" si="138"/>
        <v>0.17951120326324793</v>
      </c>
      <c r="N274" s="34">
        <f t="shared" si="138"/>
        <v>0.1799765727244427</v>
      </c>
    </row>
    <row r="275" spans="2:14" ht="18" customHeight="1">
      <c r="B275" s="23" t="s">
        <v>570</v>
      </c>
      <c r="C275" s="23" t="s">
        <v>575</v>
      </c>
      <c r="D275" s="23" t="s">
        <v>329</v>
      </c>
      <c r="E275" s="23" t="s">
        <v>31</v>
      </c>
      <c r="F275" s="34">
        <f t="shared" ref="F275:N275" si="139">IFERROR(F125/F71,"")</f>
        <v>4.3749011841503392E-2</v>
      </c>
      <c r="G275" s="34">
        <f t="shared" si="139"/>
        <v>2.4879369205608202E-2</v>
      </c>
      <c r="H275" s="34">
        <f t="shared" si="139"/>
        <v>1.9644829315280136E-3</v>
      </c>
      <c r="I275" s="34">
        <f t="shared" si="139"/>
        <v>-7.0500664564978697E-3</v>
      </c>
      <c r="J275" s="34">
        <f t="shared" si="139"/>
        <v>1.0336470183914256E-2</v>
      </c>
      <c r="K275" s="34">
        <f t="shared" si="139"/>
        <v>2.0735885131425373E-2</v>
      </c>
      <c r="L275" s="34">
        <f t="shared" si="139"/>
        <v>-1.6720407221566865E-2</v>
      </c>
      <c r="M275" s="34">
        <f t="shared" si="139"/>
        <v>0.13014841578465047</v>
      </c>
      <c r="N275" s="34">
        <f t="shared" si="139"/>
        <v>0.11157431288096845</v>
      </c>
    </row>
    <row r="276" spans="2:14" ht="18" customHeight="1">
      <c r="B276" s="23" t="s">
        <v>570</v>
      </c>
      <c r="C276" s="23" t="s">
        <v>577</v>
      </c>
      <c r="D276" s="23" t="s">
        <v>578</v>
      </c>
      <c r="E276" s="23" t="s">
        <v>31</v>
      </c>
      <c r="F276" s="34">
        <f>IFERROR(F125/F188,"")</f>
        <v>1.6305569695325685E-2</v>
      </c>
      <c r="G276" s="34">
        <f>IFERROR(G125/AVERAGE(F188,G188),"")</f>
        <v>9.9618379700863961E-3</v>
      </c>
      <c r="H276" s="34">
        <f t="shared" ref="H276:N276" si="140">IFERROR(H125/AVERAGE(G188,H188),"")</f>
        <v>7.9166848262023396E-4</v>
      </c>
      <c r="I276" s="34">
        <f t="shared" si="140"/>
        <v>-2.8740796723059335E-3</v>
      </c>
      <c r="J276" s="34">
        <f t="shared" si="140"/>
        <v>4.5315948749776987E-3</v>
      </c>
      <c r="K276" s="34">
        <f t="shared" si="140"/>
        <v>9.8476246177037017E-3</v>
      </c>
      <c r="L276" s="34">
        <f t="shared" si="140"/>
        <v>-9.3341270667441269E-3</v>
      </c>
      <c r="M276" s="34">
        <f t="shared" si="140"/>
        <v>8.4517800641063276E-2</v>
      </c>
      <c r="N276" s="34">
        <f t="shared" si="140"/>
        <v>6.5495070849457743E-2</v>
      </c>
    </row>
    <row r="277" spans="2:14" ht="18" customHeight="1">
      <c r="B277" s="23" t="s">
        <v>570</v>
      </c>
      <c r="C277" s="23" t="s">
        <v>577</v>
      </c>
      <c r="D277" s="23" t="s">
        <v>579</v>
      </c>
      <c r="E277" s="23" t="s">
        <v>31</v>
      </c>
      <c r="F277" s="34">
        <f>IFERROR(F125/F192,"")</f>
        <v>9.0454355667590552E-2</v>
      </c>
      <c r="G277" s="34">
        <f>IFERROR(G125/AVERAGE(F192,G192),"")</f>
        <v>5.4925456501421104E-2</v>
      </c>
      <c r="H277" s="34">
        <f t="shared" ref="H277:N277" si="141">IFERROR(H125/AVERAGE(G192,H192),"")</f>
        <v>4.4766050008778098E-3</v>
      </c>
      <c r="I277" s="34">
        <f t="shared" si="141"/>
        <v>-1.6908157546841555E-2</v>
      </c>
      <c r="J277" s="34">
        <f t="shared" si="141"/>
        <v>2.6657207877541274E-2</v>
      </c>
      <c r="K277" s="34">
        <f t="shared" si="141"/>
        <v>5.6013346207060076E-2</v>
      </c>
      <c r="L277" s="34">
        <f t="shared" si="141"/>
        <v>-5.482967356048344E-2</v>
      </c>
      <c r="M277" s="34">
        <f t="shared" si="141"/>
        <v>0.41732790463186864</v>
      </c>
      <c r="N277" s="34">
        <f t="shared" si="141"/>
        <v>0.24883355038253602</v>
      </c>
    </row>
    <row r="278" spans="2:14" ht="18" customHeight="1">
      <c r="B278" s="23" t="s">
        <v>570</v>
      </c>
      <c r="C278" s="23" t="s">
        <v>580</v>
      </c>
      <c r="D278" s="23" t="s">
        <v>581</v>
      </c>
      <c r="E278" s="23" t="s">
        <v>34</v>
      </c>
      <c r="F278" s="35">
        <f t="shared" ref="F278:N278" si="142">IFERROR(F230/(F120+ABS(F221)),"")</f>
        <v>4.770522763614867</v>
      </c>
      <c r="G278" s="35">
        <f t="shared" si="142"/>
        <v>4.4234260339771572</v>
      </c>
      <c r="H278" s="35">
        <f t="shared" si="142"/>
        <v>4.2054581016798256</v>
      </c>
      <c r="I278" s="35">
        <f t="shared" si="142"/>
        <v>5.0073713687927981</v>
      </c>
      <c r="J278" s="35">
        <f t="shared" si="142"/>
        <v>2.9939300963440845</v>
      </c>
      <c r="K278" s="35">
        <f t="shared" si="142"/>
        <v>2.8075565062289392</v>
      </c>
      <c r="L278" s="35">
        <f t="shared" si="142"/>
        <v>2.7535144119968038</v>
      </c>
      <c r="M278" s="35">
        <f t="shared" si="142"/>
        <v>1.5326800752733667</v>
      </c>
      <c r="N278" s="35">
        <f t="shared" si="142"/>
        <v>1.4135803812773173</v>
      </c>
    </row>
    <row r="279" spans="2:14" ht="24" customHeight="1">
      <c r="B279" s="25" t="s">
        <v>582</v>
      </c>
      <c r="C279" s="25" t="s">
        <v>583</v>
      </c>
      <c r="D279" s="25"/>
      <c r="E279" s="25"/>
      <c r="F279" s="26"/>
      <c r="G279" s="26"/>
      <c r="H279" s="26"/>
      <c r="I279" s="26"/>
      <c r="J279" s="26"/>
      <c r="K279" s="26"/>
      <c r="L279" s="26"/>
      <c r="M279" s="26"/>
      <c r="N279" s="26"/>
    </row>
    <row r="280" spans="2:14" ht="18" customHeight="1">
      <c r="B280" s="23" t="s">
        <v>582</v>
      </c>
      <c r="C280" s="23" t="s">
        <v>584</v>
      </c>
      <c r="D280" s="23" t="s">
        <v>585</v>
      </c>
      <c r="E280" s="23" t="s">
        <v>28</v>
      </c>
      <c r="F280" s="32" t="str">
        <f t="shared" ref="F280:N280" si="143">IF(OR(F114="",F115="",F116=""),"",F114+F115-F116)</f>
        <v/>
      </c>
      <c r="G280" s="32">
        <f t="shared" si="143"/>
        <v>0</v>
      </c>
      <c r="H280" s="32">
        <f t="shared" si="143"/>
        <v>0</v>
      </c>
      <c r="I280" s="32">
        <f t="shared" si="143"/>
        <v>0</v>
      </c>
      <c r="J280" s="32">
        <f t="shared" si="143"/>
        <v>0</v>
      </c>
      <c r="K280" s="32">
        <f t="shared" si="143"/>
        <v>0</v>
      </c>
      <c r="L280" s="32">
        <f t="shared" si="143"/>
        <v>0</v>
      </c>
      <c r="M280" s="32">
        <f t="shared" si="143"/>
        <v>0</v>
      </c>
      <c r="N280" s="32">
        <f t="shared" si="143"/>
        <v>0</v>
      </c>
    </row>
    <row r="281" spans="2:14" ht="18" customHeight="1">
      <c r="B281" s="23" t="s">
        <v>582</v>
      </c>
      <c r="C281" s="23" t="s">
        <v>584</v>
      </c>
      <c r="D281" s="23" t="s">
        <v>586</v>
      </c>
      <c r="E281" s="23" t="s">
        <v>28</v>
      </c>
      <c r="F281" s="32">
        <f t="shared" ref="F281:N281" si="144">IF(OR(F120="",F121="",F122="",F123=""),"",F120+F121+F122-F123)</f>
        <v>9.0949470177292824E-13</v>
      </c>
      <c r="G281" s="32">
        <f t="shared" si="144"/>
        <v>0</v>
      </c>
      <c r="H281" s="32">
        <f t="shared" si="144"/>
        <v>-3.979039320256561E-13</v>
      </c>
      <c r="I281" s="32">
        <f t="shared" si="144"/>
        <v>0</v>
      </c>
      <c r="J281" s="32">
        <f t="shared" si="144"/>
        <v>1.8189894035458565E-12</v>
      </c>
      <c r="K281" s="32">
        <f t="shared" si="144"/>
        <v>-2.7284841053187847E-12</v>
      </c>
      <c r="L281" s="32">
        <f t="shared" si="144"/>
        <v>0</v>
      </c>
      <c r="M281" s="32">
        <f t="shared" si="144"/>
        <v>0</v>
      </c>
      <c r="N281" s="32">
        <f t="shared" si="144"/>
        <v>0</v>
      </c>
    </row>
    <row r="282" spans="2:14" ht="18" customHeight="1">
      <c r="B282" s="23" t="s">
        <v>582</v>
      </c>
      <c r="C282" s="23" t="s">
        <v>587</v>
      </c>
      <c r="D282" s="23" t="s">
        <v>518</v>
      </c>
      <c r="E282" s="23" t="s">
        <v>28</v>
      </c>
      <c r="F282" s="32">
        <f t="shared" ref="F282:N282" si="145">IF(OR(F188="",F192="",F208=""),"",F188-F192-F208)</f>
        <v>0</v>
      </c>
      <c r="G282" s="32">
        <f t="shared" si="145"/>
        <v>0</v>
      </c>
      <c r="H282" s="32">
        <f t="shared" si="145"/>
        <v>0</v>
      </c>
      <c r="I282" s="32">
        <f t="shared" si="145"/>
        <v>0</v>
      </c>
      <c r="J282" s="32">
        <f t="shared" si="145"/>
        <v>0</v>
      </c>
      <c r="K282" s="32">
        <f t="shared" si="145"/>
        <v>0</v>
      </c>
      <c r="L282" s="32">
        <f t="shared" si="145"/>
        <v>0</v>
      </c>
      <c r="M282" s="32">
        <f t="shared" si="145"/>
        <v>0</v>
      </c>
      <c r="N282" s="32">
        <f t="shared" si="145"/>
        <v>0</v>
      </c>
    </row>
    <row r="283" spans="2:14" ht="18" customHeight="1">
      <c r="B283" s="23" t="s">
        <v>582</v>
      </c>
      <c r="C283" s="23" t="s">
        <v>588</v>
      </c>
      <c r="D283" s="23" t="s">
        <v>589</v>
      </c>
      <c r="E283" s="23" t="s">
        <v>28</v>
      </c>
      <c r="F283" s="32" t="str">
        <f t="shared" ref="F283:N283" si="146">IF(OR(F261="",F260="",F262="",F263=""),"",F261+F260+F262-F263)</f>
        <v/>
      </c>
      <c r="G283" s="32">
        <f t="shared" si="146"/>
        <v>0</v>
      </c>
      <c r="H283" s="32">
        <f t="shared" si="146"/>
        <v>0</v>
      </c>
      <c r="I283" s="32">
        <f t="shared" si="146"/>
        <v>0</v>
      </c>
      <c r="J283" s="32">
        <f t="shared" si="146"/>
        <v>0</v>
      </c>
      <c r="K283" s="32">
        <f t="shared" si="146"/>
        <v>-9.0949470177292824E-13</v>
      </c>
      <c r="L283" s="32">
        <f t="shared" si="146"/>
        <v>0</v>
      </c>
      <c r="M283" s="32">
        <f t="shared" si="146"/>
        <v>0</v>
      </c>
      <c r="N283" s="32">
        <f t="shared" si="146"/>
        <v>0</v>
      </c>
    </row>
  </sheetData>
  <conditionalFormatting sqref="F209:N209">
    <cfRule type="cellIs" dxfId="5" priority="1" operator="notEqual">
      <formula>0</formula>
    </cfRule>
  </conditionalFormatting>
  <conditionalFormatting sqref="F282:N282">
    <cfRule type="cellIs" dxfId="4" priority="2" operator="notEqual">
      <formula>0</formula>
    </cfRule>
  </conditionalFormatting>
  <conditionalFormatting sqref="F283:N283">
    <cfRule type="cellIs" dxfId="3" priority="3" operator="notEqual">
      <formula>0</formula>
    </cfRule>
  </conditionalFormatting>
  <conditionalFormatting sqref="F281:N281">
    <cfRule type="cellIs" dxfId="2" priority="4" operator="notEqual">
      <formula>0</formula>
    </cfRule>
  </conditionalFormatting>
  <conditionalFormatting sqref="F280:N280">
    <cfRule type="cellIs" dxfId="1" priority="5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2026-07-09T12:06:38Z</dcterms:created>
  <dcterms:modified xsi:type="dcterms:W3CDTF">2026-07-14T07:17:41Z</dcterms:modified>
  <cp:category/>
  <cp:contentStatus/>
</cp:coreProperties>
</file>