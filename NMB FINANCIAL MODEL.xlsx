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CFA Research Challenge\"/>
    </mc:Choice>
  </mc:AlternateContent>
  <xr:revisionPtr revIDLastSave="0" documentId="13_ncr:1_{893639E3-99FC-4FFF-BABC-7F6A6D7ED3E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NMB Financials" sheetId="2" r:id="rId1"/>
    <sheet name="NMB Model" sheetId="1" r:id="rId2"/>
  </sheets>
  <definedNames>
    <definedName name="_xlnm.Print_Area" localSheetId="1">'NMB Model'!$A$1:$AK$307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7" i="1" l="1"/>
  <c r="O87" i="1"/>
  <c r="P87" i="1"/>
  <c r="R19" i="1"/>
  <c r="R15" i="1"/>
  <c r="R23" i="1"/>
  <c r="R26" i="1"/>
  <c r="R30" i="1"/>
  <c r="R32" i="1"/>
  <c r="R36" i="1"/>
  <c r="R40" i="1"/>
  <c r="R43" i="1"/>
  <c r="R48" i="1"/>
  <c r="R52" i="1"/>
  <c r="R56" i="1"/>
  <c r="R59" i="1"/>
  <c r="R64" i="1"/>
  <c r="R67" i="1"/>
  <c r="R70" i="1"/>
  <c r="R73" i="1"/>
  <c r="R77" i="1"/>
  <c r="R81" i="1"/>
  <c r="R89" i="1"/>
  <c r="R92" i="1"/>
  <c r="R103" i="1"/>
  <c r="R106" i="1"/>
  <c r="R110" i="1"/>
  <c r="R114" i="1"/>
  <c r="R118" i="1"/>
  <c r="R120" i="1"/>
  <c r="R122" i="1"/>
  <c r="R123" i="1"/>
  <c r="R124" i="1"/>
  <c r="R128" i="1"/>
  <c r="R129" i="1"/>
  <c r="R131" i="1"/>
  <c r="R132" i="1"/>
  <c r="R134" i="1"/>
  <c r="R137" i="1"/>
  <c r="R138" i="1"/>
  <c r="R141" i="1"/>
  <c r="R142" i="1"/>
  <c r="R143" i="1"/>
  <c r="R144" i="1"/>
  <c r="R145" i="1"/>
  <c r="R146" i="1"/>
  <c r="R147" i="1"/>
  <c r="R151" i="1"/>
  <c r="R154" i="1"/>
  <c r="R158" i="1"/>
  <c r="R160" i="1"/>
  <c r="R161" i="1"/>
  <c r="R162" i="1"/>
  <c r="R163" i="1"/>
  <c r="R164" i="1"/>
  <c r="R169" i="1"/>
  <c r="R176" i="1"/>
  <c r="R180" i="1"/>
  <c r="R182" i="1"/>
  <c r="R11" i="1"/>
  <c r="W11" i="1"/>
  <c r="X11" i="1"/>
  <c r="W15" i="1"/>
  <c r="X15" i="1"/>
  <c r="T19" i="1"/>
  <c r="U19" i="1"/>
  <c r="V19" i="1"/>
  <c r="W19" i="1"/>
  <c r="X19" i="1"/>
  <c r="W23" i="1"/>
  <c r="X23" i="1"/>
  <c r="W26" i="1"/>
  <c r="X26" i="1"/>
  <c r="W30" i="1"/>
  <c r="X30" i="1"/>
  <c r="W32" i="1"/>
  <c r="X32" i="1"/>
  <c r="T36" i="1"/>
  <c r="U36" i="1"/>
  <c r="V36" i="1"/>
  <c r="W36" i="1"/>
  <c r="X36" i="1"/>
  <c r="T40" i="1"/>
  <c r="U40" i="1"/>
  <c r="V40" i="1"/>
  <c r="W40" i="1"/>
  <c r="X40" i="1"/>
  <c r="W43" i="1"/>
  <c r="X43" i="1"/>
  <c r="W48" i="1"/>
  <c r="X48" i="1"/>
  <c r="W52" i="1"/>
  <c r="X52" i="1"/>
  <c r="T56" i="1"/>
  <c r="U56" i="1"/>
  <c r="V56" i="1"/>
  <c r="W56" i="1"/>
  <c r="X56" i="1"/>
  <c r="W59" i="1"/>
  <c r="X59" i="1"/>
  <c r="T64" i="1"/>
  <c r="U64" i="1"/>
  <c r="V64" i="1"/>
  <c r="W64" i="1"/>
  <c r="X64" i="1"/>
  <c r="W67" i="1"/>
  <c r="X67" i="1"/>
  <c r="T70" i="1"/>
  <c r="U70" i="1"/>
  <c r="V70" i="1"/>
  <c r="W70" i="1"/>
  <c r="X70" i="1"/>
  <c r="W73" i="1"/>
  <c r="X73" i="1"/>
  <c r="W76" i="1"/>
  <c r="X76" i="1"/>
  <c r="T77" i="1"/>
  <c r="U77" i="1"/>
  <c r="V77" i="1"/>
  <c r="W77" i="1" s="1"/>
  <c r="W81" i="1"/>
  <c r="X81" i="1"/>
  <c r="W85" i="1"/>
  <c r="X85" i="1"/>
  <c r="W86" i="1"/>
  <c r="X86" i="1"/>
  <c r="T87" i="1"/>
  <c r="U87" i="1"/>
  <c r="V87" i="1"/>
  <c r="X87" i="1" s="1"/>
  <c r="W87" i="1"/>
  <c r="W89" i="1"/>
  <c r="X89" i="1"/>
  <c r="W103" i="1"/>
  <c r="X103" i="1"/>
  <c r="W106" i="1"/>
  <c r="X106" i="1"/>
  <c r="W110" i="1"/>
  <c r="X110" i="1"/>
  <c r="W114" i="1"/>
  <c r="X114" i="1"/>
  <c r="W118" i="1"/>
  <c r="X119" i="1"/>
  <c r="W120" i="1"/>
  <c r="W122" i="1"/>
  <c r="X122" i="1"/>
  <c r="W123" i="1"/>
  <c r="W124" i="1"/>
  <c r="X124" i="1"/>
  <c r="W128" i="1"/>
  <c r="X128" i="1"/>
  <c r="W129" i="1"/>
  <c r="X129" i="1"/>
  <c r="T130" i="1"/>
  <c r="U130" i="1"/>
  <c r="V130" i="1"/>
  <c r="W131" i="1"/>
  <c r="X131" i="1"/>
  <c r="T132" i="1"/>
  <c r="U132" i="1"/>
  <c r="V132" i="1"/>
  <c r="W132" i="1"/>
  <c r="X132" i="1"/>
  <c r="W137" i="1"/>
  <c r="X137" i="1"/>
  <c r="W138" i="1"/>
  <c r="X138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T151" i="1"/>
  <c r="U151" i="1"/>
  <c r="V151" i="1"/>
  <c r="W151" i="1"/>
  <c r="X151" i="1"/>
  <c r="W154" i="1"/>
  <c r="X154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T164" i="1"/>
  <c r="U164" i="1"/>
  <c r="V164" i="1"/>
  <c r="W164" i="1"/>
  <c r="X164" i="1"/>
  <c r="W175" i="1"/>
  <c r="X175" i="1"/>
  <c r="W176" i="1"/>
  <c r="X176" i="1"/>
  <c r="W180" i="1"/>
  <c r="X180" i="1"/>
  <c r="W182" i="1"/>
  <c r="X182" i="1"/>
  <c r="O169" i="1"/>
  <c r="P169" i="1"/>
  <c r="O164" i="1"/>
  <c r="P164" i="1"/>
  <c r="O154" i="1"/>
  <c r="P154" i="1"/>
  <c r="P134" i="1"/>
  <c r="N134" i="1"/>
  <c r="O132" i="1"/>
  <c r="P132" i="1"/>
  <c r="O77" i="1"/>
  <c r="P77" i="1"/>
  <c r="O70" i="1"/>
  <c r="P70" i="1"/>
  <c r="O64" i="1"/>
  <c r="P64" i="1"/>
  <c r="O56" i="1"/>
  <c r="P56" i="1"/>
  <c r="O40" i="1"/>
  <c r="P40" i="1"/>
  <c r="O36" i="1"/>
  <c r="P36" i="1"/>
  <c r="O19" i="1"/>
  <c r="P19" i="1"/>
  <c r="P15" i="1"/>
  <c r="E18" i="1"/>
  <c r="F18" i="1"/>
  <c r="G18" i="1"/>
  <c r="H18" i="1"/>
  <c r="I18" i="1"/>
  <c r="D18" i="1"/>
  <c r="D13" i="1"/>
  <c r="J103" i="1"/>
  <c r="J74" i="1"/>
  <c r="K74" i="1"/>
  <c r="L74" i="1"/>
  <c r="M74" i="1"/>
  <c r="N74" i="1"/>
  <c r="I181" i="1"/>
  <c r="E108" i="1"/>
  <c r="F108" i="1"/>
  <c r="G108" i="1"/>
  <c r="H108" i="1"/>
  <c r="I108" i="1"/>
  <c r="D108" i="1"/>
  <c r="E112" i="1"/>
  <c r="F112" i="1"/>
  <c r="G112" i="1"/>
  <c r="H112" i="1"/>
  <c r="I112" i="1"/>
  <c r="D116" i="1"/>
  <c r="D112" i="1"/>
  <c r="E116" i="1"/>
  <c r="F116" i="1"/>
  <c r="G116" i="1"/>
  <c r="H116" i="1"/>
  <c r="I116" i="1"/>
  <c r="F61" i="1"/>
  <c r="E62" i="1"/>
  <c r="F62" i="1"/>
  <c r="G62" i="1"/>
  <c r="I62" i="1"/>
  <c r="D62" i="1"/>
  <c r="J24" i="1"/>
  <c r="E17" i="1"/>
  <c r="F17" i="1"/>
  <c r="G17" i="1"/>
  <c r="H17" i="1"/>
  <c r="I17" i="1"/>
  <c r="D17" i="1"/>
  <c r="E67" i="2"/>
  <c r="F67" i="2"/>
  <c r="G67" i="2"/>
  <c r="H67" i="2"/>
  <c r="I67" i="2"/>
  <c r="Q67" i="2"/>
  <c r="T67" i="2" s="1"/>
  <c r="R67" i="2"/>
  <c r="U67" i="2" s="1"/>
  <c r="S67" i="2"/>
  <c r="D67" i="2"/>
  <c r="J130" i="1"/>
  <c r="K130" i="1"/>
  <c r="L130" i="1"/>
  <c r="M130" i="1"/>
  <c r="N130" i="1"/>
  <c r="E149" i="1"/>
  <c r="F149" i="1"/>
  <c r="G149" i="1"/>
  <c r="H149" i="1"/>
  <c r="I149" i="1"/>
  <c r="D149" i="1"/>
  <c r="F148" i="1"/>
  <c r="G148" i="1"/>
  <c r="H148" i="1"/>
  <c r="I148" i="1"/>
  <c r="E148" i="1"/>
  <c r="F115" i="1"/>
  <c r="G115" i="1"/>
  <c r="H115" i="1"/>
  <c r="I115" i="1"/>
  <c r="E115" i="1"/>
  <c r="F111" i="1"/>
  <c r="G111" i="1"/>
  <c r="H111" i="1"/>
  <c r="I111" i="1"/>
  <c r="E111" i="1"/>
  <c r="T76" i="2"/>
  <c r="U76" i="2"/>
  <c r="Q76" i="2"/>
  <c r="R76" i="2"/>
  <c r="S76" i="2"/>
  <c r="E76" i="2"/>
  <c r="F76" i="2"/>
  <c r="G76" i="2"/>
  <c r="H76" i="2"/>
  <c r="I76" i="2"/>
  <c r="D76" i="2"/>
  <c r="F107" i="1"/>
  <c r="G107" i="1"/>
  <c r="H107" i="1"/>
  <c r="I107" i="1"/>
  <c r="E107" i="1"/>
  <c r="F104" i="1"/>
  <c r="G104" i="1"/>
  <c r="H104" i="1"/>
  <c r="I104" i="1"/>
  <c r="E104" i="1"/>
  <c r="E13" i="1"/>
  <c r="F13" i="1"/>
  <c r="G13" i="1"/>
  <c r="H13" i="1"/>
  <c r="I13" i="1"/>
  <c r="D61" i="1"/>
  <c r="E126" i="1"/>
  <c r="F126" i="1"/>
  <c r="G126" i="1"/>
  <c r="H126" i="1"/>
  <c r="I126" i="1"/>
  <c r="D126" i="1"/>
  <c r="E36" i="1"/>
  <c r="E181" i="1"/>
  <c r="F181" i="1"/>
  <c r="G181" i="1"/>
  <c r="H181" i="1"/>
  <c r="D181" i="1"/>
  <c r="C294" i="1"/>
  <c r="C249" i="1"/>
  <c r="K220" i="1"/>
  <c r="K221" i="1" s="1"/>
  <c r="K222" i="1" s="1"/>
  <c r="L220" i="1"/>
  <c r="L221" i="1" s="1"/>
  <c r="L222" i="1" s="1"/>
  <c r="M220" i="1"/>
  <c r="M221" i="1" s="1"/>
  <c r="M222" i="1" s="1"/>
  <c r="N220" i="1"/>
  <c r="N221" i="1" s="1"/>
  <c r="N222" i="1" s="1"/>
  <c r="J220" i="1"/>
  <c r="I211" i="1"/>
  <c r="H211" i="1"/>
  <c r="G211" i="1"/>
  <c r="F211" i="1"/>
  <c r="E211" i="1"/>
  <c r="D211" i="1"/>
  <c r="I208" i="1"/>
  <c r="H208" i="1"/>
  <c r="G208" i="1"/>
  <c r="F208" i="1"/>
  <c r="E208" i="1"/>
  <c r="D208" i="1"/>
  <c r="I207" i="1"/>
  <c r="H207" i="1"/>
  <c r="G207" i="1"/>
  <c r="F207" i="1"/>
  <c r="E207" i="1"/>
  <c r="E178" i="1"/>
  <c r="F178" i="1"/>
  <c r="G178" i="1"/>
  <c r="H178" i="1"/>
  <c r="I178" i="1"/>
  <c r="D178" i="1"/>
  <c r="F177" i="1"/>
  <c r="G177" i="1"/>
  <c r="H177" i="1"/>
  <c r="I177" i="1"/>
  <c r="E177" i="1"/>
  <c r="F139" i="1"/>
  <c r="G139" i="1"/>
  <c r="H139" i="1"/>
  <c r="I139" i="1"/>
  <c r="E139" i="1"/>
  <c r="F93" i="1"/>
  <c r="G93" i="1"/>
  <c r="H93" i="1"/>
  <c r="I93" i="1"/>
  <c r="E93" i="1"/>
  <c r="E97" i="1"/>
  <c r="F97" i="1"/>
  <c r="G97" i="1"/>
  <c r="H97" i="1"/>
  <c r="I97" i="1"/>
  <c r="D97" i="1"/>
  <c r="I94" i="1"/>
  <c r="E94" i="1"/>
  <c r="F94" i="1"/>
  <c r="G94" i="1"/>
  <c r="H94" i="1"/>
  <c r="D94" i="1"/>
  <c r="E90" i="1"/>
  <c r="F90" i="1"/>
  <c r="G90" i="1"/>
  <c r="H90" i="1"/>
  <c r="I90" i="1"/>
  <c r="F82" i="1"/>
  <c r="G82" i="1"/>
  <c r="H82" i="1"/>
  <c r="I82" i="1"/>
  <c r="E82" i="1"/>
  <c r="G74" i="1"/>
  <c r="H74" i="1"/>
  <c r="I74" i="1"/>
  <c r="F60" i="1"/>
  <c r="G60" i="1"/>
  <c r="E61" i="1"/>
  <c r="E60" i="1"/>
  <c r="G61" i="1"/>
  <c r="I61" i="1"/>
  <c r="F53" i="1"/>
  <c r="G53" i="1"/>
  <c r="H53" i="1"/>
  <c r="I53" i="1"/>
  <c r="E53" i="1"/>
  <c r="F49" i="1"/>
  <c r="G49" i="1"/>
  <c r="H49" i="1"/>
  <c r="I49" i="1"/>
  <c r="E49" i="1"/>
  <c r="F44" i="1"/>
  <c r="G44" i="1"/>
  <c r="H44" i="1"/>
  <c r="I44" i="1"/>
  <c r="E44" i="1"/>
  <c r="F33" i="1"/>
  <c r="G33" i="1"/>
  <c r="H33" i="1"/>
  <c r="I33" i="1"/>
  <c r="E33" i="1"/>
  <c r="F125" i="1"/>
  <c r="G125" i="1"/>
  <c r="H125" i="1"/>
  <c r="I125" i="1"/>
  <c r="E125" i="1"/>
  <c r="E28" i="1"/>
  <c r="F28" i="1"/>
  <c r="G28" i="1"/>
  <c r="H28" i="1"/>
  <c r="I28" i="1"/>
  <c r="D28" i="1"/>
  <c r="F27" i="1"/>
  <c r="G27" i="1"/>
  <c r="H27" i="1"/>
  <c r="I27" i="1"/>
  <c r="E27" i="1"/>
  <c r="K24" i="1"/>
  <c r="K23" i="1" s="1"/>
  <c r="F24" i="1"/>
  <c r="G24" i="1"/>
  <c r="H24" i="1"/>
  <c r="I24" i="1"/>
  <c r="E24" i="1"/>
  <c r="F16" i="1"/>
  <c r="G16" i="1"/>
  <c r="H16" i="1"/>
  <c r="I16" i="1"/>
  <c r="E16" i="1"/>
  <c r="F12" i="1"/>
  <c r="G12" i="1"/>
  <c r="H12" i="1"/>
  <c r="I12" i="1"/>
  <c r="E12" i="1"/>
  <c r="U81" i="2"/>
  <c r="U82" i="2"/>
  <c r="U83" i="2"/>
  <c r="T81" i="2"/>
  <c r="T82" i="2"/>
  <c r="T83" i="2"/>
  <c r="U80" i="2"/>
  <c r="T80" i="2"/>
  <c r="E77" i="2"/>
  <c r="F77" i="2" s="1"/>
  <c r="G77" i="2" s="1"/>
  <c r="H77" i="2" s="1"/>
  <c r="I77" i="2" s="1"/>
  <c r="S75" i="2"/>
  <c r="R75" i="2"/>
  <c r="Q75" i="2"/>
  <c r="I75" i="2"/>
  <c r="H75" i="2"/>
  <c r="G75" i="2"/>
  <c r="F75" i="2"/>
  <c r="E75" i="2"/>
  <c r="D75" i="2"/>
  <c r="U74" i="2"/>
  <c r="T74" i="2"/>
  <c r="U73" i="2"/>
  <c r="T73" i="2"/>
  <c r="U72" i="2"/>
  <c r="T72" i="2"/>
  <c r="U71" i="2"/>
  <c r="T71" i="2"/>
  <c r="U70" i="2"/>
  <c r="T70" i="2"/>
  <c r="U69" i="2"/>
  <c r="T69" i="2"/>
  <c r="S66" i="2"/>
  <c r="R66" i="2"/>
  <c r="Q66" i="2"/>
  <c r="I66" i="2"/>
  <c r="H66" i="2"/>
  <c r="G66" i="2"/>
  <c r="F66" i="2"/>
  <c r="E66" i="2"/>
  <c r="D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Q55" i="2"/>
  <c r="H55" i="2"/>
  <c r="G55" i="2"/>
  <c r="F55" i="2"/>
  <c r="E55" i="2"/>
  <c r="U54" i="2"/>
  <c r="T54" i="2"/>
  <c r="S53" i="2"/>
  <c r="S55" i="2" s="1"/>
  <c r="R53" i="2"/>
  <c r="R55" i="2" s="1"/>
  <c r="Q53" i="2"/>
  <c r="I53" i="2"/>
  <c r="I55" i="2" s="1"/>
  <c r="H53" i="2"/>
  <c r="G53" i="2"/>
  <c r="F53" i="2"/>
  <c r="E53" i="2"/>
  <c r="D53" i="2"/>
  <c r="D55" i="2" s="1"/>
  <c r="U52" i="2"/>
  <c r="T52" i="2"/>
  <c r="U51" i="2"/>
  <c r="T51" i="2"/>
  <c r="U50" i="2"/>
  <c r="T50" i="2"/>
  <c r="T49" i="2"/>
  <c r="U48" i="2"/>
  <c r="T48" i="2"/>
  <c r="T46" i="2"/>
  <c r="U45" i="2"/>
  <c r="T44" i="2"/>
  <c r="U43" i="2"/>
  <c r="T43" i="2"/>
  <c r="U42" i="2"/>
  <c r="T42" i="2"/>
  <c r="U41" i="2"/>
  <c r="T41" i="2"/>
  <c r="U40" i="2"/>
  <c r="T40" i="2"/>
  <c r="E36" i="2"/>
  <c r="F36" i="2" s="1"/>
  <c r="G36" i="2" s="1"/>
  <c r="H36" i="2" s="1"/>
  <c r="I36" i="2" s="1"/>
  <c r="U34" i="2"/>
  <c r="T34" i="2"/>
  <c r="U33" i="2"/>
  <c r="T33" i="2"/>
  <c r="U32" i="2"/>
  <c r="T32" i="2"/>
  <c r="U31" i="2"/>
  <c r="T31" i="2"/>
  <c r="T29" i="2"/>
  <c r="U29" i="2" s="1"/>
  <c r="U28" i="2"/>
  <c r="T28" i="2"/>
  <c r="U26" i="2"/>
  <c r="T26" i="2"/>
  <c r="U24" i="2"/>
  <c r="T24" i="2"/>
  <c r="H24" i="2"/>
  <c r="U23" i="2"/>
  <c r="S23" i="2"/>
  <c r="R23" i="2"/>
  <c r="Q23" i="2"/>
  <c r="T23" i="2" s="1"/>
  <c r="I23" i="2"/>
  <c r="H23" i="2"/>
  <c r="G23" i="2"/>
  <c r="F23" i="2"/>
  <c r="E23" i="2"/>
  <c r="D23" i="2"/>
  <c r="U22" i="2"/>
  <c r="T22" i="2"/>
  <c r="U21" i="2"/>
  <c r="T21" i="2"/>
  <c r="U20" i="2"/>
  <c r="T20" i="2"/>
  <c r="S18" i="2"/>
  <c r="R18" i="2"/>
  <c r="Q18" i="2"/>
  <c r="I18" i="2"/>
  <c r="H18" i="2"/>
  <c r="G18" i="2"/>
  <c r="F18" i="2"/>
  <c r="E18" i="2"/>
  <c r="D18" i="2"/>
  <c r="U17" i="2"/>
  <c r="T17" i="2"/>
  <c r="U16" i="2"/>
  <c r="T16" i="2"/>
  <c r="U15" i="2"/>
  <c r="T15" i="2"/>
  <c r="U14" i="2"/>
  <c r="T14" i="2"/>
  <c r="S13" i="2"/>
  <c r="U13" i="2" s="1"/>
  <c r="R13" i="2"/>
  <c r="R19" i="2" s="1"/>
  <c r="R25" i="2" s="1"/>
  <c r="R27" i="2" s="1"/>
  <c r="Q13" i="2"/>
  <c r="Q19" i="2" s="1"/>
  <c r="Q25" i="2" s="1"/>
  <c r="Q27" i="2" s="1"/>
  <c r="I13" i="2"/>
  <c r="H13" i="2"/>
  <c r="H19" i="2" s="1"/>
  <c r="H25" i="2" s="1"/>
  <c r="H27" i="2" s="1"/>
  <c r="G13" i="2"/>
  <c r="G19" i="2" s="1"/>
  <c r="G25" i="2" s="1"/>
  <c r="G27" i="2" s="1"/>
  <c r="F13" i="2"/>
  <c r="F19" i="2" s="1"/>
  <c r="F25" i="2" s="1"/>
  <c r="F27" i="2" s="1"/>
  <c r="E13" i="2"/>
  <c r="E19" i="2" s="1"/>
  <c r="E25" i="2" s="1"/>
  <c r="E27" i="2" s="1"/>
  <c r="D13" i="2"/>
  <c r="D19" i="2" s="1"/>
  <c r="D25" i="2" s="1"/>
  <c r="D27" i="2" s="1"/>
  <c r="U12" i="2"/>
  <c r="T12" i="2"/>
  <c r="U11" i="2"/>
  <c r="T11" i="2"/>
  <c r="E8" i="2"/>
  <c r="F8" i="2" s="1"/>
  <c r="G8" i="2" s="1"/>
  <c r="H8" i="2" s="1"/>
  <c r="I8" i="2" s="1"/>
  <c r="E164" i="1"/>
  <c r="E198" i="1" s="1"/>
  <c r="E200" i="1" s="1"/>
  <c r="F164" i="1"/>
  <c r="F198" i="1" s="1"/>
  <c r="F200" i="1" s="1"/>
  <c r="G164" i="1"/>
  <c r="G198" i="1" s="1"/>
  <c r="G200" i="1" s="1"/>
  <c r="H164" i="1"/>
  <c r="H198" i="1" s="1"/>
  <c r="H200" i="1" s="1"/>
  <c r="I164" i="1"/>
  <c r="I198" i="1" s="1"/>
  <c r="D164" i="1"/>
  <c r="D198" i="1" s="1"/>
  <c r="D200" i="1" s="1"/>
  <c r="E151" i="1"/>
  <c r="F151" i="1"/>
  <c r="G151" i="1"/>
  <c r="H151" i="1"/>
  <c r="I151" i="1"/>
  <c r="D151" i="1"/>
  <c r="E172" i="1"/>
  <c r="F172" i="1" s="1"/>
  <c r="G172" i="1" s="1"/>
  <c r="H172" i="1" s="1"/>
  <c r="I172" i="1" s="1"/>
  <c r="E130" i="1"/>
  <c r="E132" i="1" s="1"/>
  <c r="F130" i="1"/>
  <c r="F132" i="1" s="1"/>
  <c r="G130" i="1"/>
  <c r="G132" i="1" s="1"/>
  <c r="H130" i="1"/>
  <c r="H132" i="1" s="1"/>
  <c r="I130" i="1"/>
  <c r="I132" i="1" s="1"/>
  <c r="D130" i="1"/>
  <c r="D132" i="1" s="1"/>
  <c r="E99" i="1"/>
  <c r="F99" i="1" s="1"/>
  <c r="G99" i="1" s="1"/>
  <c r="H99" i="1" s="1"/>
  <c r="I99" i="1" s="1"/>
  <c r="H59" i="1"/>
  <c r="I60" i="1" s="1"/>
  <c r="H56" i="1"/>
  <c r="H46" i="1" s="1"/>
  <c r="E56" i="1"/>
  <c r="E46" i="1" s="1"/>
  <c r="F56" i="1"/>
  <c r="F46" i="1" s="1"/>
  <c r="G56" i="1"/>
  <c r="G46" i="1" s="1"/>
  <c r="I56" i="1"/>
  <c r="I46" i="1" s="1"/>
  <c r="D56" i="1"/>
  <c r="D46" i="1" s="1"/>
  <c r="H36" i="1"/>
  <c r="I36" i="1"/>
  <c r="D36" i="1"/>
  <c r="F36" i="1"/>
  <c r="G36" i="1"/>
  <c r="E19" i="1"/>
  <c r="E34" i="1" s="1"/>
  <c r="F19" i="1"/>
  <c r="F34" i="1" s="1"/>
  <c r="G19" i="1"/>
  <c r="G34" i="1" s="1"/>
  <c r="H19" i="1"/>
  <c r="H34" i="1" s="1"/>
  <c r="I19" i="1"/>
  <c r="I34" i="1" s="1"/>
  <c r="D19" i="1"/>
  <c r="D34" i="1" s="1"/>
  <c r="E8" i="1"/>
  <c r="F8" i="1" s="1"/>
  <c r="G8" i="1" s="1"/>
  <c r="H8" i="1" s="1"/>
  <c r="I8" i="1" s="1"/>
  <c r="X77" i="1" l="1"/>
  <c r="L24" i="1"/>
  <c r="M24" i="1" s="1"/>
  <c r="J34" i="1"/>
  <c r="I199" i="1"/>
  <c r="J125" i="1"/>
  <c r="J112" i="1"/>
  <c r="K112" i="1" s="1"/>
  <c r="J28" i="1"/>
  <c r="K28" i="1" s="1"/>
  <c r="J82" i="1"/>
  <c r="K82" i="1" s="1"/>
  <c r="L82" i="1" s="1"/>
  <c r="M82" i="1" s="1"/>
  <c r="N82" i="1" s="1"/>
  <c r="J17" i="1"/>
  <c r="K17" i="1" s="1"/>
  <c r="L17" i="1" s="1"/>
  <c r="J116" i="1"/>
  <c r="K116" i="1" s="1"/>
  <c r="L116" i="1" s="1"/>
  <c r="J178" i="1"/>
  <c r="K178" i="1" s="1"/>
  <c r="J108" i="1"/>
  <c r="J139" i="1"/>
  <c r="K139" i="1" s="1"/>
  <c r="J90" i="1"/>
  <c r="K90" i="1" s="1"/>
  <c r="J149" i="1"/>
  <c r="J221" i="1"/>
  <c r="J222" i="1" s="1"/>
  <c r="C258" i="1"/>
  <c r="H199" i="1"/>
  <c r="G199" i="1"/>
  <c r="F199" i="1"/>
  <c r="E199" i="1"/>
  <c r="H62" i="1"/>
  <c r="I200" i="1"/>
  <c r="I154" i="1"/>
  <c r="J13" i="1"/>
  <c r="H154" i="1"/>
  <c r="G154" i="1"/>
  <c r="F154" i="1"/>
  <c r="D154" i="1"/>
  <c r="E154" i="1"/>
  <c r="I133" i="1"/>
  <c r="E165" i="1"/>
  <c r="I165" i="1"/>
  <c r="H165" i="1"/>
  <c r="G165" i="1"/>
  <c r="F165" i="1"/>
  <c r="H133" i="1"/>
  <c r="F133" i="1"/>
  <c r="E133" i="1"/>
  <c r="G133" i="1"/>
  <c r="H169" i="1"/>
  <c r="G169" i="1"/>
  <c r="F169" i="1"/>
  <c r="E169" i="1"/>
  <c r="D169" i="1"/>
  <c r="I169" i="1"/>
  <c r="T18" i="2"/>
  <c r="S19" i="2"/>
  <c r="T75" i="2"/>
  <c r="I19" i="2"/>
  <c r="I25" i="2" s="1"/>
  <c r="I27" i="2" s="1"/>
  <c r="T66" i="2"/>
  <c r="T13" i="2"/>
  <c r="J126" i="1"/>
  <c r="K126" i="1" s="1"/>
  <c r="L126" i="1" s="1"/>
  <c r="C271" i="1"/>
  <c r="G152" i="1"/>
  <c r="I152" i="1"/>
  <c r="H152" i="1"/>
  <c r="F152" i="1"/>
  <c r="E152" i="1"/>
  <c r="F57" i="1"/>
  <c r="H60" i="1"/>
  <c r="H61" i="1"/>
  <c r="E57" i="1"/>
  <c r="H57" i="1"/>
  <c r="I57" i="1"/>
  <c r="G57" i="1"/>
  <c r="I37" i="1"/>
  <c r="F37" i="1"/>
  <c r="G37" i="1"/>
  <c r="H37" i="1"/>
  <c r="E37" i="1"/>
  <c r="F20" i="1"/>
  <c r="E20" i="1"/>
  <c r="H20" i="1"/>
  <c r="I20" i="1"/>
  <c r="G20" i="1"/>
  <c r="J23" i="1"/>
  <c r="T55" i="2"/>
  <c r="U55" i="2"/>
  <c r="H35" i="2"/>
  <c r="H30" i="2"/>
  <c r="E30" i="2"/>
  <c r="E35" i="2"/>
  <c r="D30" i="2"/>
  <c r="D35" i="2"/>
  <c r="F35" i="2"/>
  <c r="F30" i="2"/>
  <c r="G30" i="2"/>
  <c r="G35" i="2"/>
  <c r="I35" i="2"/>
  <c r="I30" i="2"/>
  <c r="Q35" i="2"/>
  <c r="Q30" i="2"/>
  <c r="R35" i="2"/>
  <c r="R30" i="2"/>
  <c r="U75" i="2"/>
  <c r="U66" i="2"/>
  <c r="T19" i="2"/>
  <c r="U18" i="2"/>
  <c r="D40" i="1"/>
  <c r="D38" i="1" s="1"/>
  <c r="E40" i="1"/>
  <c r="E21" i="1" s="1"/>
  <c r="F40" i="1"/>
  <c r="F21" i="1" s="1"/>
  <c r="H40" i="1"/>
  <c r="H21" i="1" s="1"/>
  <c r="I40" i="1"/>
  <c r="I21" i="1" s="1"/>
  <c r="G40" i="1"/>
  <c r="G21" i="1" s="1"/>
  <c r="L23" i="1" l="1"/>
  <c r="N24" i="1"/>
  <c r="K34" i="1"/>
  <c r="M116" i="1"/>
  <c r="N116" i="1" s="1"/>
  <c r="J81" i="1"/>
  <c r="J138" i="1"/>
  <c r="J124" i="1" s="1"/>
  <c r="J26" i="1" s="1"/>
  <c r="J27" i="1" s="1"/>
  <c r="L139" i="1"/>
  <c r="M139" i="1" s="1"/>
  <c r="N139" i="1" s="1"/>
  <c r="L90" i="1"/>
  <c r="M90" i="1" s="1"/>
  <c r="N90" i="1" s="1"/>
  <c r="L178" i="1"/>
  <c r="M178" i="1"/>
  <c r="N178" i="1" s="1"/>
  <c r="L112" i="1"/>
  <c r="M112" i="1" s="1"/>
  <c r="N112" i="1" s="1"/>
  <c r="K108" i="1"/>
  <c r="L108" i="1" s="1"/>
  <c r="L28" i="1"/>
  <c r="M28" i="1" s="1"/>
  <c r="N28" i="1" s="1"/>
  <c r="K149" i="1"/>
  <c r="L149" i="1" s="1"/>
  <c r="M149" i="1" s="1"/>
  <c r="N149" i="1" s="1"/>
  <c r="M17" i="1"/>
  <c r="N17" i="1" s="1"/>
  <c r="M126" i="1"/>
  <c r="N126" i="1" s="1"/>
  <c r="K13" i="1"/>
  <c r="L13" i="1" s="1"/>
  <c r="M13" i="1" s="1"/>
  <c r="J104" i="1"/>
  <c r="J62" i="1"/>
  <c r="J61" i="1"/>
  <c r="F155" i="1"/>
  <c r="H155" i="1"/>
  <c r="E155" i="1"/>
  <c r="G155" i="1"/>
  <c r="I155" i="1"/>
  <c r="U19" i="2"/>
  <c r="S25" i="2"/>
  <c r="G38" i="1"/>
  <c r="E38" i="1"/>
  <c r="F38" i="1"/>
  <c r="I38" i="1"/>
  <c r="H38" i="1"/>
  <c r="D45" i="1"/>
  <c r="D21" i="1"/>
  <c r="J89" i="1"/>
  <c r="K89" i="1" s="1"/>
  <c r="G54" i="1"/>
  <c r="G45" i="1"/>
  <c r="F54" i="1"/>
  <c r="F45" i="1"/>
  <c r="I54" i="1"/>
  <c r="I45" i="1"/>
  <c r="H54" i="1"/>
  <c r="H45" i="1"/>
  <c r="E54" i="1"/>
  <c r="E45" i="1"/>
  <c r="D50" i="1"/>
  <c r="D54" i="1"/>
  <c r="E50" i="1"/>
  <c r="H50" i="1"/>
  <c r="F50" i="1"/>
  <c r="G50" i="1"/>
  <c r="I50" i="1"/>
  <c r="D64" i="1"/>
  <c r="G64" i="1"/>
  <c r="G68" i="1" s="1"/>
  <c r="G41" i="1"/>
  <c r="F64" i="1"/>
  <c r="F68" i="1" s="1"/>
  <c r="F41" i="1"/>
  <c r="H64" i="1"/>
  <c r="H68" i="1" s="1"/>
  <c r="H41" i="1"/>
  <c r="E64" i="1"/>
  <c r="E68" i="1" s="1"/>
  <c r="E41" i="1"/>
  <c r="I64" i="1"/>
  <c r="I68" i="1" s="1"/>
  <c r="I41" i="1"/>
  <c r="K125" i="1"/>
  <c r="L125" i="1" s="1"/>
  <c r="J147" i="1" l="1"/>
  <c r="J148" i="1" s="1"/>
  <c r="J15" i="1"/>
  <c r="J16" i="1" s="1"/>
  <c r="L34" i="1"/>
  <c r="M108" i="1"/>
  <c r="N108" i="1" s="1"/>
  <c r="J50" i="1"/>
  <c r="N13" i="1"/>
  <c r="J45" i="1"/>
  <c r="J54" i="1"/>
  <c r="K50" i="1"/>
  <c r="L50" i="1" s="1"/>
  <c r="K62" i="1"/>
  <c r="K45" i="1"/>
  <c r="J68" i="1"/>
  <c r="K68" i="1" s="1"/>
  <c r="K61" i="1"/>
  <c r="L61" i="1" s="1"/>
  <c r="J176" i="1"/>
  <c r="U25" i="2"/>
  <c r="T25" i="2"/>
  <c r="S27" i="2"/>
  <c r="K81" i="1"/>
  <c r="L81" i="1" s="1"/>
  <c r="K138" i="1"/>
  <c r="K15" i="1" s="1"/>
  <c r="K16" i="1" s="1"/>
  <c r="L89" i="1"/>
  <c r="D70" i="1"/>
  <c r="D191" i="1" s="1"/>
  <c r="D68" i="1"/>
  <c r="J52" i="1"/>
  <c r="J53" i="1" s="1"/>
  <c r="E70" i="1"/>
  <c r="E65" i="1"/>
  <c r="H70" i="1"/>
  <c r="H191" i="1" s="1"/>
  <c r="H65" i="1"/>
  <c r="F70" i="1"/>
  <c r="F191" i="1" s="1"/>
  <c r="F65" i="1"/>
  <c r="G70" i="1"/>
  <c r="G191" i="1" s="1"/>
  <c r="G65" i="1"/>
  <c r="I70" i="1"/>
  <c r="I191" i="1" s="1"/>
  <c r="I192" i="1" s="1"/>
  <c r="I197" i="1" s="1"/>
  <c r="I65" i="1"/>
  <c r="J48" i="1"/>
  <c r="J49" i="1" s="1"/>
  <c r="M125" i="1"/>
  <c r="N125" i="1" s="1"/>
  <c r="M23" i="1"/>
  <c r="M34" i="1" l="1"/>
  <c r="L45" i="1"/>
  <c r="M45" i="1" s="1"/>
  <c r="L62" i="1"/>
  <c r="L68" i="1"/>
  <c r="M68" i="1" s="1"/>
  <c r="K54" i="1"/>
  <c r="L54" i="1" s="1"/>
  <c r="M50" i="1"/>
  <c r="N50" i="1" s="1"/>
  <c r="J177" i="1"/>
  <c r="J181" i="1"/>
  <c r="J59" i="1"/>
  <c r="J60" i="1" s="1"/>
  <c r="M61" i="1"/>
  <c r="N61" i="1" s="1"/>
  <c r="K147" i="1"/>
  <c r="K148" i="1" s="1"/>
  <c r="K104" i="1"/>
  <c r="K124" i="1"/>
  <c r="K176" i="1" s="1"/>
  <c r="L138" i="1"/>
  <c r="U27" i="2"/>
  <c r="T27" i="2"/>
  <c r="S30" i="2"/>
  <c r="S35" i="2"/>
  <c r="D166" i="1"/>
  <c r="F203" i="1"/>
  <c r="F202" i="1" s="1"/>
  <c r="F192" i="1"/>
  <c r="H192" i="1"/>
  <c r="I193" i="1" s="1"/>
  <c r="H203" i="1"/>
  <c r="H202" i="1" s="1"/>
  <c r="E87" i="1"/>
  <c r="E88" i="1" s="1"/>
  <c r="E191" i="1"/>
  <c r="I203" i="1"/>
  <c r="G192" i="1"/>
  <c r="G203" i="1"/>
  <c r="G202" i="1" s="1"/>
  <c r="M81" i="1"/>
  <c r="N81" i="1" s="1"/>
  <c r="H134" i="1"/>
  <c r="H166" i="1"/>
  <c r="E134" i="1"/>
  <c r="E166" i="1"/>
  <c r="F134" i="1"/>
  <c r="F166" i="1"/>
  <c r="I134" i="1"/>
  <c r="I166" i="1"/>
  <c r="G134" i="1"/>
  <c r="G166" i="1"/>
  <c r="D77" i="1"/>
  <c r="D79" i="1" s="1"/>
  <c r="D134" i="1"/>
  <c r="M89" i="1"/>
  <c r="N89" i="1" s="1"/>
  <c r="G77" i="1"/>
  <c r="G79" i="1" s="1"/>
  <c r="G71" i="1"/>
  <c r="E77" i="1"/>
  <c r="E71" i="1"/>
  <c r="F77" i="1"/>
  <c r="F71" i="1"/>
  <c r="H77" i="1"/>
  <c r="H71" i="1"/>
  <c r="I77" i="1"/>
  <c r="I71" i="1"/>
  <c r="K52" i="1"/>
  <c r="K53" i="1" s="1"/>
  <c r="D87" i="1"/>
  <c r="F87" i="1"/>
  <c r="H87" i="1"/>
  <c r="G87" i="1"/>
  <c r="G88" i="1" s="1"/>
  <c r="I87" i="1"/>
  <c r="I88" i="1" s="1"/>
  <c r="K48" i="1"/>
  <c r="N23" i="1"/>
  <c r="H88" i="1" l="1"/>
  <c r="F209" i="1"/>
  <c r="F210" i="1" s="1"/>
  <c r="F79" i="1"/>
  <c r="E209" i="1"/>
  <c r="E210" i="1" s="1"/>
  <c r="E79" i="1"/>
  <c r="I209" i="1"/>
  <c r="I210" i="1" s="1"/>
  <c r="I204" i="1" s="1"/>
  <c r="I79" i="1"/>
  <c r="H209" i="1"/>
  <c r="H210" i="1" s="1"/>
  <c r="H79" i="1"/>
  <c r="F88" i="1"/>
  <c r="N34" i="1"/>
  <c r="N45" i="1"/>
  <c r="M54" i="1"/>
  <c r="N54" i="1" s="1"/>
  <c r="M62" i="1"/>
  <c r="N62" i="1" s="1"/>
  <c r="J166" i="1"/>
  <c r="N68" i="1"/>
  <c r="K177" i="1"/>
  <c r="K181" i="1"/>
  <c r="G193" i="1"/>
  <c r="H193" i="1"/>
  <c r="K59" i="1"/>
  <c r="K60" i="1" s="1"/>
  <c r="K151" i="1"/>
  <c r="L104" i="1"/>
  <c r="L15" i="1"/>
  <c r="L16" i="1" s="1"/>
  <c r="K26" i="1"/>
  <c r="K27" i="1" s="1"/>
  <c r="L147" i="1"/>
  <c r="L148" i="1" s="1"/>
  <c r="L124" i="1"/>
  <c r="M138" i="1"/>
  <c r="T35" i="2"/>
  <c r="U35" i="2"/>
  <c r="T30" i="2"/>
  <c r="U30" i="2"/>
  <c r="E203" i="1"/>
  <c r="E202" i="1" s="1"/>
  <c r="E192" i="1"/>
  <c r="F193" i="1" s="1"/>
  <c r="G95" i="1"/>
  <c r="G209" i="1"/>
  <c r="D192" i="1"/>
  <c r="D203" i="1"/>
  <c r="D202" i="1" s="1"/>
  <c r="D95" i="1"/>
  <c r="D96" i="1" s="1"/>
  <c r="D209" i="1"/>
  <c r="H78" i="1"/>
  <c r="H95" i="1"/>
  <c r="F78" i="1"/>
  <c r="F95" i="1"/>
  <c r="F96" i="1" s="1"/>
  <c r="E78" i="1"/>
  <c r="E95" i="1"/>
  <c r="I78" i="1"/>
  <c r="I95" i="1"/>
  <c r="G78" i="1"/>
  <c r="J209" i="1" l="1"/>
  <c r="K209" i="1" s="1"/>
  <c r="I202" i="1"/>
  <c r="H96" i="1"/>
  <c r="I96" i="1"/>
  <c r="L209" i="1"/>
  <c r="M209" i="1" s="1"/>
  <c r="G96" i="1"/>
  <c r="J95" i="1"/>
  <c r="E193" i="1"/>
  <c r="K106" i="1"/>
  <c r="K114" i="1"/>
  <c r="K110" i="1"/>
  <c r="K11" i="1" s="1"/>
  <c r="K18" i="1" s="1"/>
  <c r="M104" i="1"/>
  <c r="M15" i="1"/>
  <c r="M16" i="1" s="1"/>
  <c r="L151" i="1"/>
  <c r="L26" i="1"/>
  <c r="L27" i="1" s="1"/>
  <c r="L176" i="1"/>
  <c r="L181" i="1" s="1"/>
  <c r="M147" i="1"/>
  <c r="M148" i="1" s="1"/>
  <c r="M124" i="1"/>
  <c r="N138" i="1"/>
  <c r="N15" i="1" s="1"/>
  <c r="D210" i="1"/>
  <c r="G210" i="1"/>
  <c r="K166" i="1"/>
  <c r="L52" i="1"/>
  <c r="M52" i="1" s="1"/>
  <c r="E96" i="1"/>
  <c r="L48" i="1"/>
  <c r="M48" i="1" s="1"/>
  <c r="K132" i="1" l="1"/>
  <c r="K154" i="1" s="1"/>
  <c r="N209" i="1"/>
  <c r="K95" i="1"/>
  <c r="J96" i="1"/>
  <c r="L177" i="1"/>
  <c r="L59" i="1"/>
  <c r="L60" i="1" s="1"/>
  <c r="N16" i="1"/>
  <c r="K19" i="1"/>
  <c r="K32" i="1" s="1"/>
  <c r="N124" i="1"/>
  <c r="N26" i="1" s="1"/>
  <c r="N104" i="1"/>
  <c r="M176" i="1"/>
  <c r="M181" i="1" s="1"/>
  <c r="M26" i="1"/>
  <c r="L110" i="1"/>
  <c r="L114" i="1"/>
  <c r="L115" i="1" s="1"/>
  <c r="L106" i="1"/>
  <c r="L152" i="1"/>
  <c r="M151" i="1"/>
  <c r="M106" i="1" s="1"/>
  <c r="N147" i="1"/>
  <c r="N148" i="1" s="1"/>
  <c r="J210" i="1"/>
  <c r="L210" i="1"/>
  <c r="L166" i="1"/>
  <c r="M166" i="1" s="1"/>
  <c r="L53" i="1"/>
  <c r="N48" i="1"/>
  <c r="N52" i="1"/>
  <c r="N53" i="1" s="1"/>
  <c r="M53" i="1"/>
  <c r="L132" i="1" l="1"/>
  <c r="L95" i="1"/>
  <c r="L231" i="1"/>
  <c r="L232" i="1" s="1"/>
  <c r="J231" i="1"/>
  <c r="M177" i="1"/>
  <c r="M59" i="1"/>
  <c r="M60" i="1" s="1"/>
  <c r="K36" i="1"/>
  <c r="M107" i="1"/>
  <c r="M27" i="1"/>
  <c r="L111" i="1"/>
  <c r="L11" i="1"/>
  <c r="N176" i="1"/>
  <c r="N181" i="1" s="1"/>
  <c r="L107" i="1"/>
  <c r="M152" i="1"/>
  <c r="M114" i="1"/>
  <c r="M115" i="1" s="1"/>
  <c r="M110" i="1"/>
  <c r="M132" i="1" s="1"/>
  <c r="N151" i="1"/>
  <c r="N152" i="1" s="1"/>
  <c r="J232" i="1"/>
  <c r="K210" i="1"/>
  <c r="N166" i="1"/>
  <c r="N27" i="1"/>
  <c r="K96" i="1"/>
  <c r="N49" i="1"/>
  <c r="M49" i="1"/>
  <c r="K49" i="1"/>
  <c r="L49" i="1"/>
  <c r="L12" i="1" l="1"/>
  <c r="L18" i="1"/>
  <c r="L96" i="1"/>
  <c r="M95" i="1"/>
  <c r="N95" i="1" s="1"/>
  <c r="N96" i="1" s="1"/>
  <c r="K231" i="1"/>
  <c r="K232" i="1" s="1"/>
  <c r="N177" i="1"/>
  <c r="N59" i="1"/>
  <c r="N60" i="1" s="1"/>
  <c r="L133" i="1"/>
  <c r="K40" i="1"/>
  <c r="K21" i="1" s="1"/>
  <c r="L154" i="1"/>
  <c r="L155" i="1" s="1"/>
  <c r="L19" i="1"/>
  <c r="L32" i="1" s="1"/>
  <c r="M111" i="1"/>
  <c r="M11" i="1"/>
  <c r="N106" i="1"/>
  <c r="N114" i="1"/>
  <c r="N115" i="1" s="1"/>
  <c r="N110" i="1"/>
  <c r="N210" i="1"/>
  <c r="M210" i="1"/>
  <c r="N132" i="1" l="1"/>
  <c r="M12" i="1"/>
  <c r="M18" i="1"/>
  <c r="K43" i="1"/>
  <c r="K56" i="1" s="1"/>
  <c r="M231" i="1"/>
  <c r="M232" i="1" s="1"/>
  <c r="N231" i="1"/>
  <c r="N232" i="1" s="1"/>
  <c r="K38" i="1"/>
  <c r="M154" i="1"/>
  <c r="M155" i="1" s="1"/>
  <c r="M133" i="1"/>
  <c r="L33" i="1"/>
  <c r="L36" i="1"/>
  <c r="L40" i="1" s="1"/>
  <c r="M19" i="1"/>
  <c r="M32" i="1" s="1"/>
  <c r="M36" i="1" s="1"/>
  <c r="L20" i="1"/>
  <c r="N111" i="1"/>
  <c r="N11" i="1"/>
  <c r="N107" i="1"/>
  <c r="M96" i="1"/>
  <c r="N12" i="1" l="1"/>
  <c r="N18" i="1"/>
  <c r="M33" i="1"/>
  <c r="C231" i="1"/>
  <c r="C232" i="1" s="1"/>
  <c r="L37" i="1"/>
  <c r="M37" i="1"/>
  <c r="N19" i="1"/>
  <c r="N32" i="1" s="1"/>
  <c r="N33" i="1" s="1"/>
  <c r="K64" i="1"/>
  <c r="K46" i="1"/>
  <c r="L21" i="1"/>
  <c r="L38" i="1"/>
  <c r="L41" i="1"/>
  <c r="L43" i="1"/>
  <c r="M20" i="1"/>
  <c r="M40" i="1"/>
  <c r="M21" i="1" s="1"/>
  <c r="N154" i="1"/>
  <c r="N155" i="1" s="1"/>
  <c r="N133" i="1"/>
  <c r="N36" i="1" l="1"/>
  <c r="N37" i="1" s="1"/>
  <c r="L56" i="1"/>
  <c r="L46" i="1" s="1"/>
  <c r="L44" i="1"/>
  <c r="K67" i="1"/>
  <c r="K70" i="1" s="1"/>
  <c r="N20" i="1"/>
  <c r="M43" i="1"/>
  <c r="M41" i="1"/>
  <c r="M38" i="1"/>
  <c r="N40" i="1" l="1"/>
  <c r="N38" i="1" s="1"/>
  <c r="M56" i="1"/>
  <c r="M46" i="1" s="1"/>
  <c r="M44" i="1"/>
  <c r="K134" i="1"/>
  <c r="K77" i="1"/>
  <c r="K79" i="1" s="1"/>
  <c r="K191" i="1"/>
  <c r="K192" i="1" s="1"/>
  <c r="K87" i="1"/>
  <c r="L64" i="1"/>
  <c r="L57" i="1"/>
  <c r="N21" i="1" l="1"/>
  <c r="N43" i="1"/>
  <c r="N44" i="1" s="1"/>
  <c r="N41" i="1"/>
  <c r="K211" i="1"/>
  <c r="K97" i="1"/>
  <c r="K92" i="1" s="1"/>
  <c r="N56" i="1"/>
  <c r="N46" i="1" s="1"/>
  <c r="L67" i="1"/>
  <c r="L70" i="1" s="1"/>
  <c r="L65" i="1"/>
  <c r="M64" i="1"/>
  <c r="M57" i="1"/>
  <c r="L191" i="1" l="1"/>
  <c r="L192" i="1" s="1"/>
  <c r="L193" i="1" s="1"/>
  <c r="L134" i="1"/>
  <c r="L77" i="1"/>
  <c r="L79" i="1" s="1"/>
  <c r="L87" i="1"/>
  <c r="L88" i="1" s="1"/>
  <c r="L71" i="1"/>
  <c r="M67" i="1"/>
  <c r="M70" i="1" s="1"/>
  <c r="M65" i="1"/>
  <c r="N57" i="1"/>
  <c r="N64" i="1"/>
  <c r="K225" i="1"/>
  <c r="K206" i="1"/>
  <c r="K94" i="1"/>
  <c r="N65" i="1" l="1"/>
  <c r="N67" i="1"/>
  <c r="N70" i="1" s="1"/>
  <c r="K208" i="1"/>
  <c r="L211" i="1"/>
  <c r="L97" i="1"/>
  <c r="L92" i="1" s="1"/>
  <c r="L78" i="1"/>
  <c r="K226" i="1"/>
  <c r="M191" i="1"/>
  <c r="M192" i="1" s="1"/>
  <c r="M193" i="1" s="1"/>
  <c r="M77" i="1"/>
  <c r="M79" i="1" s="1"/>
  <c r="M134" i="1"/>
  <c r="M87" i="1"/>
  <c r="M88" i="1" s="1"/>
  <c r="M71" i="1"/>
  <c r="L206" i="1" l="1"/>
  <c r="L225" i="1"/>
  <c r="L94" i="1"/>
  <c r="L93" i="1"/>
  <c r="N77" i="1"/>
  <c r="N79" i="1" s="1"/>
  <c r="N71" i="1"/>
  <c r="N191" i="1"/>
  <c r="N192" i="1" s="1"/>
  <c r="N87" i="1"/>
  <c r="N88" i="1" s="1"/>
  <c r="M211" i="1"/>
  <c r="M97" i="1"/>
  <c r="M92" i="1" s="1"/>
  <c r="M78" i="1"/>
  <c r="C259" i="1" l="1"/>
  <c r="N193" i="1"/>
  <c r="C237" i="1"/>
  <c r="C238" i="1" s="1"/>
  <c r="C247" i="1" s="1"/>
  <c r="N211" i="1"/>
  <c r="N78" i="1"/>
  <c r="N97" i="1"/>
  <c r="N92" i="1" s="1"/>
  <c r="L208" i="1"/>
  <c r="L207" i="1"/>
  <c r="M94" i="1"/>
  <c r="M93" i="1"/>
  <c r="M225" i="1"/>
  <c r="M226" i="1" s="1"/>
  <c r="M206" i="1"/>
  <c r="M208" i="1" s="1"/>
  <c r="L226" i="1"/>
  <c r="M207" i="1" l="1"/>
  <c r="N225" i="1"/>
  <c r="N206" i="1"/>
  <c r="N94" i="1"/>
  <c r="N93" i="1"/>
  <c r="N207" i="1" l="1"/>
  <c r="N208" i="1"/>
  <c r="N226" i="1"/>
  <c r="C280" i="1" l="1"/>
  <c r="C260" i="1"/>
  <c r="C261" i="1" s="1"/>
  <c r="C263" i="1" s="1"/>
  <c r="C264" i="1" s="1"/>
  <c r="C268" i="1" s="1"/>
  <c r="J151" i="1"/>
  <c r="J114" i="1" s="1"/>
  <c r="J110" i="1" l="1"/>
  <c r="J111" i="1" s="1"/>
  <c r="J152" i="1"/>
  <c r="K152" i="1"/>
  <c r="J106" i="1"/>
  <c r="J132" i="1" s="1"/>
  <c r="K115" i="1"/>
  <c r="J11" i="1"/>
  <c r="J18" i="1" s="1"/>
  <c r="J115" i="1"/>
  <c r="K111" i="1"/>
  <c r="K107" i="1" l="1"/>
  <c r="J107" i="1"/>
  <c r="K133" i="1"/>
  <c r="J133" i="1"/>
  <c r="J154" i="1"/>
  <c r="J19" i="1"/>
  <c r="J32" i="1" s="1"/>
  <c r="K12" i="1"/>
  <c r="J12" i="1"/>
  <c r="J20" i="1" l="1"/>
  <c r="K20" i="1"/>
  <c r="K155" i="1"/>
  <c r="J155" i="1"/>
  <c r="K33" i="1"/>
  <c r="J36" i="1"/>
  <c r="J33" i="1"/>
  <c r="J37" i="1" l="1"/>
  <c r="K37" i="1"/>
  <c r="J40" i="1"/>
  <c r="K41" i="1" l="1"/>
  <c r="J41" i="1"/>
  <c r="J43" i="1"/>
  <c r="J21" i="1"/>
  <c r="J38" i="1"/>
  <c r="K44" i="1" l="1"/>
  <c r="J56" i="1"/>
  <c r="J46" i="1" s="1"/>
  <c r="J44" i="1"/>
  <c r="J57" i="1" l="1"/>
  <c r="K57" i="1"/>
  <c r="J64" i="1"/>
  <c r="K65" i="1" l="1"/>
  <c r="J65" i="1"/>
  <c r="J67" i="1"/>
  <c r="J70" i="1" s="1"/>
  <c r="K71" i="1" l="1"/>
  <c r="J87" i="1"/>
  <c r="J134" i="1"/>
  <c r="J71" i="1"/>
  <c r="J77" i="1"/>
  <c r="J79" i="1" s="1"/>
  <c r="J191" i="1"/>
  <c r="J88" i="1" l="1"/>
  <c r="K88" i="1"/>
  <c r="J192" i="1"/>
  <c r="J211" i="1"/>
  <c r="J97" i="1"/>
  <c r="K78" i="1"/>
  <c r="J78" i="1"/>
  <c r="J193" i="1" l="1"/>
  <c r="K193" i="1"/>
  <c r="J92" i="1"/>
  <c r="J160" i="1"/>
  <c r="J206" i="1"/>
  <c r="J225" i="1"/>
  <c r="J226" i="1" l="1"/>
  <c r="C226" i="1" s="1"/>
  <c r="C246" i="1" s="1"/>
  <c r="C225" i="1"/>
  <c r="K207" i="1"/>
  <c r="J208" i="1"/>
  <c r="J207" i="1"/>
  <c r="J164" i="1"/>
  <c r="K160" i="1"/>
  <c r="J93" i="1"/>
  <c r="K93" i="1"/>
  <c r="J94" i="1"/>
  <c r="O193" i="1"/>
  <c r="J197" i="1" s="1"/>
  <c r="K197" i="1" s="1"/>
  <c r="J165" i="1" l="1"/>
  <c r="J198" i="1"/>
  <c r="J169" i="1"/>
  <c r="J105" i="1" s="1"/>
  <c r="L160" i="1"/>
  <c r="K164" i="1"/>
  <c r="C248" i="1"/>
  <c r="C250" i="1" s="1"/>
  <c r="C267" i="1"/>
  <c r="C251" i="1" l="1"/>
  <c r="J200" i="1"/>
  <c r="J199" i="1"/>
  <c r="J215" i="1"/>
  <c r="J203" i="1"/>
  <c r="J204" i="1" s="1"/>
  <c r="C269" i="1"/>
  <c r="C272" i="1" s="1"/>
  <c r="C273" i="1" s="1"/>
  <c r="C290" i="1"/>
  <c r="K169" i="1"/>
  <c r="K105" i="1" s="1"/>
  <c r="K198" i="1"/>
  <c r="K165" i="1"/>
  <c r="M160" i="1"/>
  <c r="L164" i="1"/>
  <c r="N160" i="1" l="1"/>
  <c r="N164" i="1" s="1"/>
  <c r="M164" i="1"/>
  <c r="K199" i="1"/>
  <c r="K203" i="1"/>
  <c r="K204" i="1" s="1"/>
  <c r="K215" i="1"/>
  <c r="K200" i="1"/>
  <c r="J233" i="1"/>
  <c r="L198" i="1"/>
  <c r="L165" i="1"/>
  <c r="L169" i="1"/>
  <c r="L105" i="1" s="1"/>
  <c r="L199" i="1" l="1"/>
  <c r="L203" i="1"/>
  <c r="L204" i="1" s="1"/>
  <c r="L200" i="1"/>
  <c r="L215" i="1"/>
  <c r="K233" i="1"/>
  <c r="K235" i="1" s="1"/>
  <c r="M165" i="1"/>
  <c r="M169" i="1"/>
  <c r="M105" i="1" s="1"/>
  <c r="M198" i="1"/>
  <c r="J235" i="1"/>
  <c r="N198" i="1"/>
  <c r="N165" i="1"/>
  <c r="N169" i="1"/>
  <c r="N105" i="1" s="1"/>
  <c r="N200" i="1" l="1"/>
  <c r="C281" i="1" s="1"/>
  <c r="C282" i="1" s="1"/>
  <c r="C283" i="1" s="1"/>
  <c r="C285" i="1" s="1"/>
  <c r="C286" i="1" s="1"/>
  <c r="C291" i="1" s="1"/>
  <c r="C292" i="1" s="1"/>
  <c r="C295" i="1" s="1"/>
  <c r="C300" i="1" s="1"/>
  <c r="N215" i="1"/>
  <c r="N203" i="1"/>
  <c r="N204" i="1" s="1"/>
  <c r="N199" i="1"/>
  <c r="M199" i="1"/>
  <c r="M203" i="1"/>
  <c r="M204" i="1" s="1"/>
  <c r="M215" i="1"/>
  <c r="M200" i="1"/>
  <c r="L233" i="1"/>
  <c r="C296" i="1" l="1"/>
  <c r="C301" i="1"/>
  <c r="L235" i="1"/>
  <c r="M233" i="1"/>
  <c r="M235" i="1" s="1"/>
  <c r="N233" i="1"/>
  <c r="N235" i="1" s="1"/>
  <c r="C2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24" authorId="0" shapeId="0" xr:uid="{64B37B25-043B-4FA2-8D02-E0CD50656F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Political Instability creating volatility in fx hence more profitability on bank fx transactions
</t>
        </r>
      </text>
    </comment>
    <comment ref="Q24" authorId="0" shapeId="0" xr:uid="{FA8797F3-0FCB-4E6B-AB69-B94B6E7554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Political Instability creating volatility in fx hence more profitability on bank fx transactions
</t>
        </r>
      </text>
    </comment>
    <comment ref="J43" authorId="0" shapeId="0" xr:uid="{4040B16C-F684-4824-A53A-E3EB9861792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Assuming salaries include bonuses which are linked to income we use the salaries/income ratio
</t>
        </r>
      </text>
    </comment>
    <comment ref="Q43" authorId="0" shapeId="0" xr:uid="{EA387D5B-D15E-4DB4-A419-EB78E5A201B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Assuming salaries include bonuses which are linked to income we use the salaries/income ratio
</t>
        </r>
      </text>
    </comment>
  </commentList>
</comments>
</file>

<file path=xl/sharedStrings.xml><?xml version="1.0" encoding="utf-8"?>
<sst xmlns="http://schemas.openxmlformats.org/spreadsheetml/2006/main" count="376" uniqueCount="187">
  <si>
    <t>Interest income</t>
  </si>
  <si>
    <t>Interest expense</t>
  </si>
  <si>
    <t>Foreign currency dealing and translation gain/(loss)</t>
  </si>
  <si>
    <t>Fee and commissions</t>
  </si>
  <si>
    <t>Dividend income</t>
  </si>
  <si>
    <t>Other operating income</t>
  </si>
  <si>
    <t>Salaries and benefits</t>
  </si>
  <si>
    <t>Fees and commissions</t>
  </si>
  <si>
    <t>Other operating expenses</t>
  </si>
  <si>
    <t>Income tax expense</t>
  </si>
  <si>
    <t>Other comprehensive income, net of tax</t>
  </si>
  <si>
    <t>Fair value gain/ (loss) on FVOCI – net of tax</t>
  </si>
  <si>
    <t>Total comprehensive income for the year</t>
  </si>
  <si>
    <t>Number of employees</t>
  </si>
  <si>
    <t>Basic earnings per share</t>
  </si>
  <si>
    <t>Diluted earnings per share</t>
  </si>
  <si>
    <t>Number of Branches</t>
  </si>
  <si>
    <t>Financial year ended</t>
  </si>
  <si>
    <t>Financial year</t>
  </si>
  <si>
    <t>FY 2024</t>
  </si>
  <si>
    <t>Q3 2024</t>
  </si>
  <si>
    <t>Q3 2025</t>
  </si>
  <si>
    <t>ASSETS</t>
  </si>
  <si>
    <t>Cash</t>
  </si>
  <si>
    <t>Balances with Bank of Tanzania</t>
  </si>
  <si>
    <t>Balances with Government securities</t>
  </si>
  <si>
    <t>Balances with other banks and financial institutions</t>
  </si>
  <si>
    <t>Cheques and items for clearing</t>
  </si>
  <si>
    <t>Inter branch float items</t>
  </si>
  <si>
    <t>Bills negotiated</t>
  </si>
  <si>
    <t>Customers' liabilities for acceptances</t>
  </si>
  <si>
    <t>Interbank loans receivables</t>
  </si>
  <si>
    <t>Investments in other securities</t>
  </si>
  <si>
    <t>Equity investments</t>
  </si>
  <si>
    <t>Underwriting securities</t>
  </si>
  <si>
    <t>Property, Plant and equipment</t>
  </si>
  <si>
    <t>TOTAL ASSETS</t>
  </si>
  <si>
    <t>LIABILITIES</t>
  </si>
  <si>
    <t>Deposits from other banks and financial institutions</t>
  </si>
  <si>
    <t>Customer deposits</t>
  </si>
  <si>
    <t>Certificates of credit</t>
  </si>
  <si>
    <t>Special Deposits</t>
  </si>
  <si>
    <t>Accrued taxes and expenses payable</t>
  </si>
  <si>
    <t>Other liabilities</t>
  </si>
  <si>
    <t>Borrowings</t>
  </si>
  <si>
    <t>TOTAL LIABILITIES</t>
  </si>
  <si>
    <t>NET ASSETS (LIABILITIES)</t>
  </si>
  <si>
    <t>SHAREHOLDERS' FUNDS</t>
  </si>
  <si>
    <t>Paid up capital</t>
  </si>
  <si>
    <t>Capital reserves</t>
  </si>
  <si>
    <t>Retained earnings</t>
  </si>
  <si>
    <t>Profit(Loss) account</t>
  </si>
  <si>
    <t>Other capital accounts</t>
  </si>
  <si>
    <t>Minority interest</t>
  </si>
  <si>
    <t>TOTAL SHAREHOLDERS' FUNDS</t>
  </si>
  <si>
    <t>Contingent liabilities</t>
  </si>
  <si>
    <t>Non-performing loans &amp; advances</t>
  </si>
  <si>
    <t>Allowances for probable losses</t>
  </si>
  <si>
    <t>Other</t>
  </si>
  <si>
    <t>Company name</t>
  </si>
  <si>
    <t>Ticker</t>
  </si>
  <si>
    <t>Fomarting</t>
  </si>
  <si>
    <t>Share price</t>
  </si>
  <si>
    <t>Share price date</t>
  </si>
  <si>
    <t xml:space="preserve">Black text </t>
  </si>
  <si>
    <t>Historical</t>
  </si>
  <si>
    <t>Financial Year - Last year ended</t>
  </si>
  <si>
    <t>Model date</t>
  </si>
  <si>
    <t xml:space="preserve">Blue text  </t>
  </si>
  <si>
    <t>Forecast</t>
  </si>
  <si>
    <t>Shares Outstanding (Millions)</t>
  </si>
  <si>
    <t>JKUAT TEAM C</t>
  </si>
  <si>
    <t>NMB Bank Plc</t>
  </si>
  <si>
    <t>NMB</t>
  </si>
  <si>
    <t>TZS,8360</t>
  </si>
  <si>
    <t>23/12/2025</t>
  </si>
  <si>
    <t>24/12/2025</t>
  </si>
  <si>
    <t>Y-O-Y growth</t>
  </si>
  <si>
    <t>YTD growth</t>
  </si>
  <si>
    <t>Profit and Loss</t>
  </si>
  <si>
    <t>NET INTEREST INCOME</t>
  </si>
  <si>
    <t>Loss Provision On loans and Advances</t>
  </si>
  <si>
    <t>Non Interest  Income</t>
  </si>
  <si>
    <t>Tzs’m</t>
  </si>
  <si>
    <t>TOTAL OPERATING INCOME/</t>
  </si>
  <si>
    <t>Profit/(Loss) Before Tax and Exceptional Items</t>
  </si>
  <si>
    <t>Profit/(loss)after tax</t>
  </si>
  <si>
    <t>Statement of Financial Position</t>
  </si>
  <si>
    <t>Calculated EPS</t>
  </si>
  <si>
    <t>Loans, advances and overdrafts(net)</t>
  </si>
  <si>
    <t>Other Assets</t>
  </si>
  <si>
    <t>Other Disclosures</t>
  </si>
  <si>
    <t>Bankers' cheques and drafts issued</t>
  </si>
  <si>
    <t>Unrearned  income and other deferred charges</t>
  </si>
  <si>
    <t>Statement of Comprehensive Income</t>
  </si>
  <si>
    <t>Growth Rate</t>
  </si>
  <si>
    <t>Fee and commissions/Loans and Advances</t>
  </si>
  <si>
    <t>Total Other operating expenses</t>
  </si>
  <si>
    <t>Fees and Commissions/Income</t>
  </si>
  <si>
    <t>Other operating expenses/Total Income</t>
  </si>
  <si>
    <t>Cost of Risk</t>
  </si>
  <si>
    <t>Effective Tax Rate</t>
  </si>
  <si>
    <t>Growth  Rate</t>
  </si>
  <si>
    <t>Dividend Per Share (DPS)</t>
  </si>
  <si>
    <t>25/12/2025</t>
  </si>
  <si>
    <t>Dividend Yield</t>
  </si>
  <si>
    <t>Payout Ratio</t>
  </si>
  <si>
    <t>Retention Ratio</t>
  </si>
  <si>
    <t>Dividend Amount</t>
  </si>
  <si>
    <t>ROA</t>
  </si>
  <si>
    <t>NPL Ratio</t>
  </si>
  <si>
    <t>Return on Equity (ROE)</t>
  </si>
  <si>
    <t>VALUATION</t>
  </si>
  <si>
    <t>Multiples</t>
  </si>
  <si>
    <t>Profit After Tax</t>
  </si>
  <si>
    <t>EPS Calculated</t>
  </si>
  <si>
    <t>EPS reported -Basic and Diluted</t>
  </si>
  <si>
    <t xml:space="preserve">Terminal Value from Trailing P/E </t>
  </si>
  <si>
    <t>Price/Earnings (PE Ratio)</t>
  </si>
  <si>
    <t>Book Value (Shareholders Equity)</t>
  </si>
  <si>
    <t>BVPS</t>
  </si>
  <si>
    <t>Price/Book (PB Ratio)</t>
  </si>
  <si>
    <t>Return on Equity</t>
  </si>
  <si>
    <t>Dividend Discount Model</t>
  </si>
  <si>
    <t>Current Date</t>
  </si>
  <si>
    <t>Time Period</t>
  </si>
  <si>
    <t>Risk Free Rate</t>
  </si>
  <si>
    <t>Risk Premium Rate</t>
  </si>
  <si>
    <t>Discount Rate</t>
  </si>
  <si>
    <t>Discount Factor</t>
  </si>
  <si>
    <t>PV of Future Dividends</t>
  </si>
  <si>
    <t>Future dividends</t>
  </si>
  <si>
    <t>Discounted Values</t>
  </si>
  <si>
    <t>PV DPS</t>
  </si>
  <si>
    <t>Teminal  Value Calculation -Baed on Growth Rate</t>
  </si>
  <si>
    <t>Earnings Retention Ratio</t>
  </si>
  <si>
    <t>Dividend Payout Ratio</t>
  </si>
  <si>
    <t>ROE</t>
  </si>
  <si>
    <t>Terminal Value</t>
  </si>
  <si>
    <t>Discounted terminal  Value</t>
  </si>
  <si>
    <t>Valuation 1</t>
  </si>
  <si>
    <t>Teminal  Value Dividends at Constant Growth Rate</t>
  </si>
  <si>
    <t>Sum of discounted dividends</t>
  </si>
  <si>
    <t>Present Value (PV) of Terminal Value</t>
  </si>
  <si>
    <t>Value of  company</t>
  </si>
  <si>
    <t>Number of outstanding shares</t>
  </si>
  <si>
    <t>Fair Value Estimate (KES)</t>
  </si>
  <si>
    <t>Upside from current price</t>
  </si>
  <si>
    <t>Decision</t>
  </si>
  <si>
    <t>BUY</t>
  </si>
  <si>
    <t>Valuation 2</t>
  </si>
  <si>
    <t>Terminal Value from Trailing P/E</t>
  </si>
  <si>
    <t>Trailing PE</t>
  </si>
  <si>
    <t>2029 EPS</t>
  </si>
  <si>
    <t>Expected price - 2029</t>
  </si>
  <si>
    <t>Expected value - 2029 (price*shares)</t>
  </si>
  <si>
    <t>PV of Terminal Value</t>
  </si>
  <si>
    <t>Valuation</t>
  </si>
  <si>
    <t>Value of company</t>
  </si>
  <si>
    <t>Valuation 3</t>
  </si>
  <si>
    <t>Terminal Value from Trailing P/B</t>
  </si>
  <si>
    <t>Trailing PB</t>
  </si>
  <si>
    <t>2029 BVPS</t>
  </si>
  <si>
    <t>Fair Value Estimate (KES) -  Average</t>
  </si>
  <si>
    <t>Upside</t>
  </si>
  <si>
    <t>Tzs’b</t>
  </si>
  <si>
    <t>% of Total Operating Income</t>
  </si>
  <si>
    <t>Salaries/Income</t>
  </si>
  <si>
    <t>Salaries /Expenses</t>
  </si>
  <si>
    <t>Coverage Ratio</t>
  </si>
  <si>
    <t>Sustainable Dividend growth rate(g)</t>
  </si>
  <si>
    <t>Loans-to-Deposits</t>
  </si>
  <si>
    <t>Interest Expense/Deposits</t>
  </si>
  <si>
    <t>Average Yield on Interest-Earning Assets</t>
  </si>
  <si>
    <t>TOTAL SHAREHOLDERS FUNDS + LIABILITIES</t>
  </si>
  <si>
    <t>TOTAL SHAREHOLDERS' FUNDS + LIABILITES</t>
  </si>
  <si>
    <t>Borrowings/Deposits</t>
  </si>
  <si>
    <t>Loans Provisions/NPL's</t>
  </si>
  <si>
    <t>Bal with Banks/(Deposits +borrowings)</t>
  </si>
  <si>
    <t>Bal with Govt Securities/(Deposits +Borrowings)</t>
  </si>
  <si>
    <t>Bal with BoT/deposits</t>
  </si>
  <si>
    <t>g = ROE *Retention Ratio</t>
  </si>
  <si>
    <t>Operating income/net interest income.</t>
  </si>
  <si>
    <t>Net Interest Margin</t>
  </si>
  <si>
    <t>Net Margin</t>
  </si>
  <si>
    <t xml:space="preserve">Actual </t>
  </si>
  <si>
    <t>%Deviation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</si>
</sst>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0.0%"/>
    <numFmt numFmtId="166" formatCode="0.0000000000000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2366"/>
      <name val="Abadi"/>
      <family val="2"/>
    </font>
    <font>
      <b/>
      <sz val="10"/>
      <color rgb="FF002366"/>
      <name val="Abadi"/>
      <family val="2"/>
    </font>
    <font>
      <sz val="11"/>
      <color rgb="FF000000"/>
      <name val="Aptos Narrow"/>
      <family val="2"/>
    </font>
    <font>
      <sz val="10"/>
      <color rgb="FF3F3F76"/>
      <name val="Abadi"/>
      <family val="2"/>
    </font>
    <font>
      <b/>
      <sz val="11"/>
      <color rgb="FF000000"/>
      <name val="Aptos Narrow"/>
      <family val="2"/>
    </font>
    <font>
      <b/>
      <sz val="11"/>
      <color rgb="FF00B0F0"/>
      <name val="Aptos Narrow"/>
      <family val="2"/>
    </font>
    <font>
      <u/>
      <sz val="11"/>
      <color rgb="FF000000"/>
      <name val="Aptos Narrow"/>
      <family val="2"/>
    </font>
    <font>
      <b/>
      <sz val="10"/>
      <color rgb="FF000000"/>
      <name val="Abadi"/>
      <family val="2"/>
    </font>
    <font>
      <b/>
      <sz val="10"/>
      <color rgb="FF0070C0"/>
      <name val="Abadi"/>
      <family val="2"/>
    </font>
    <font>
      <b/>
      <sz val="10"/>
      <color rgb="FF3F3F3F"/>
      <name val="Abadi"/>
      <family val="2"/>
    </font>
    <font>
      <sz val="10"/>
      <color rgb="FF0070C0"/>
      <name val="Abadi"/>
      <family val="2"/>
    </font>
    <font>
      <b/>
      <sz val="13"/>
      <color rgb="FF0E2841"/>
      <name val="Abadi"/>
      <family val="2"/>
    </font>
    <font>
      <b/>
      <sz val="13"/>
      <color rgb="FF000000"/>
      <name val="Abadi"/>
      <family val="2"/>
    </font>
    <font>
      <b/>
      <sz val="1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E2841"/>
      <name val="Aptos Narrow"/>
      <family val="2"/>
    </font>
    <font>
      <b/>
      <sz val="10"/>
      <color rgb="FF215C98"/>
      <name val="Abadi"/>
      <family val="2"/>
    </font>
    <font>
      <sz val="11"/>
      <color rgb="FF0E2841"/>
      <name val="Aptos Narrow"/>
      <family val="2"/>
    </font>
    <font>
      <b/>
      <sz val="12"/>
      <color rgb="FF000000"/>
      <name val="Aptos Narrow"/>
      <family val="2"/>
    </font>
    <font>
      <b/>
      <sz val="11"/>
      <color rgb="FF145F82"/>
      <name val="Aptos Narrow"/>
      <family val="2"/>
    </font>
    <font>
      <b/>
      <sz val="11"/>
      <color rgb="FFE87331"/>
      <name val="Aptos Narrow"/>
      <family val="2"/>
    </font>
    <font>
      <b/>
      <sz val="11"/>
      <color rgb="FF4EA72E"/>
      <name val="Aptos Narrow"/>
      <family val="2"/>
    </font>
    <font>
      <b/>
      <sz val="12"/>
      <color rgb="FF0E2841"/>
      <name val="Abadi"/>
      <family val="2"/>
    </font>
    <font>
      <b/>
      <sz val="11"/>
      <color rgb="FF0E2841"/>
      <name val="Calibri"/>
      <family val="2"/>
      <scheme val="minor"/>
    </font>
    <font>
      <b/>
      <sz val="12"/>
      <color rgb="FF0E2841"/>
      <name val="Aptos Narrow"/>
      <family val="2"/>
    </font>
    <font>
      <b/>
      <sz val="11"/>
      <color rgb="FF00B050"/>
      <name val="Aptos Narrow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8E2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2366"/>
      </left>
      <right/>
      <top style="thin">
        <color rgb="FF002366"/>
      </top>
      <bottom style="thin">
        <color rgb="FF002366"/>
      </bottom>
      <diagonal/>
    </border>
    <border>
      <left/>
      <right/>
      <top style="thin">
        <color rgb="FF002366"/>
      </top>
      <bottom style="thin">
        <color rgb="FF00236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0023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63BCE7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/>
      <bottom style="medium">
        <color rgb="FF43AEE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165" fontId="19" fillId="0" borderId="0" applyFill="0" applyBorder="0"/>
    <xf numFmtId="0" fontId="20" fillId="3" borderId="2" applyNumberFormat="0" applyAlignment="0" applyProtection="0"/>
  </cellStyleXfs>
  <cellXfs count="149">
    <xf numFmtId="0" fontId="0" fillId="0" borderId="0" xfId="0"/>
    <xf numFmtId="0" fontId="5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8" fillId="5" borderId="5" xfId="0" applyFont="1" applyFill="1" applyBorder="1" applyAlignment="1">
      <alignment horizontal="right"/>
    </xf>
    <xf numFmtId="0" fontId="11" fillId="0" borderId="0" xfId="0" applyFont="1"/>
    <xf numFmtId="0" fontId="9" fillId="0" borderId="7" xfId="0" applyFont="1" applyBorder="1"/>
    <xf numFmtId="0" fontId="10" fillId="0" borderId="7" xfId="0" applyFont="1" applyBorder="1"/>
    <xf numFmtId="0" fontId="4" fillId="0" borderId="0" xfId="0" applyFont="1"/>
    <xf numFmtId="164" fontId="8" fillId="5" borderId="5" xfId="0" applyNumberFormat="1" applyFont="1" applyFill="1" applyBorder="1" applyAlignment="1">
      <alignment horizontal="right"/>
    </xf>
    <xf numFmtId="3" fontId="8" fillId="5" borderId="1" xfId="0" applyNumberFormat="1" applyFont="1" applyFill="1" applyBorder="1" applyAlignment="1">
      <alignment horizontal="right"/>
    </xf>
    <xf numFmtId="0" fontId="2" fillId="2" borderId="1" xfId="2"/>
    <xf numFmtId="0" fontId="9" fillId="0" borderId="0" xfId="0" applyFont="1"/>
    <xf numFmtId="0" fontId="10" fillId="0" borderId="0" xfId="0" applyFont="1"/>
    <xf numFmtId="0" fontId="12" fillId="0" borderId="0" xfId="0" applyFont="1"/>
    <xf numFmtId="15" fontId="8" fillId="5" borderId="1" xfId="0" applyNumberFormat="1" applyFont="1" applyFill="1" applyBorder="1"/>
    <xf numFmtId="15" fontId="13" fillId="0" borderId="0" xfId="0" applyNumberFormat="1" applyFont="1"/>
    <xf numFmtId="0" fontId="12" fillId="0" borderId="8" xfId="0" applyFont="1" applyBorder="1"/>
    <xf numFmtId="0" fontId="14" fillId="6" borderId="2" xfId="0" applyFont="1" applyFill="1" applyBorder="1" applyAlignment="1">
      <alignment horizontal="center"/>
    </xf>
    <xf numFmtId="0" fontId="13" fillId="0" borderId="8" xfId="0" applyFont="1" applyBorder="1"/>
    <xf numFmtId="0" fontId="15" fillId="0" borderId="8" xfId="0" applyFont="1" applyBorder="1"/>
    <xf numFmtId="0" fontId="16" fillId="0" borderId="9" xfId="0" applyFont="1" applyBorder="1"/>
    <xf numFmtId="0" fontId="17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8" xfId="0" applyFont="1" applyBorder="1"/>
    <xf numFmtId="0" fontId="18" fillId="0" borderId="11" xfId="0" applyFont="1" applyBorder="1"/>
    <xf numFmtId="2" fontId="3" fillId="3" borderId="1" xfId="3" applyNumberFormat="1"/>
    <xf numFmtId="9" fontId="2" fillId="2" borderId="1" xfId="1" applyFont="1" applyFill="1" applyBorder="1"/>
    <xf numFmtId="3" fontId="4" fillId="0" borderId="0" xfId="0" applyNumberFormat="1" applyFont="1"/>
    <xf numFmtId="3" fontId="4" fillId="0" borderId="10" xfId="0" applyNumberFormat="1" applyFont="1" applyBorder="1"/>
    <xf numFmtId="3" fontId="0" fillId="0" borderId="0" xfId="0" applyNumberFormat="1"/>
    <xf numFmtId="3" fontId="4" fillId="0" borderId="8" xfId="0" applyNumberFormat="1" applyFont="1" applyBorder="1"/>
    <xf numFmtId="3" fontId="18" fillId="0" borderId="11" xfId="0" applyNumberFormat="1" applyFont="1" applyBorder="1"/>
    <xf numFmtId="3" fontId="4" fillId="0" borderId="11" xfId="0" applyNumberFormat="1" applyFont="1" applyBorder="1"/>
    <xf numFmtId="165" fontId="19" fillId="0" borderId="0" xfId="4"/>
    <xf numFmtId="165" fontId="19" fillId="2" borderId="1" xfId="4" applyFill="1" applyBorder="1"/>
    <xf numFmtId="3" fontId="3" fillId="3" borderId="1" xfId="3" applyNumberFormat="1"/>
    <xf numFmtId="165" fontId="2" fillId="2" borderId="1" xfId="2" applyNumberFormat="1"/>
    <xf numFmtId="3" fontId="20" fillId="3" borderId="2" xfId="5" applyNumberFormat="1"/>
    <xf numFmtId="165" fontId="19" fillId="0" borderId="0" xfId="4" applyFill="1" applyBorder="1"/>
    <xf numFmtId="165" fontId="19" fillId="0" borderId="0" xfId="4" applyBorder="1"/>
    <xf numFmtId="9" fontId="21" fillId="2" borderId="1" xfId="1" applyFont="1" applyFill="1" applyBorder="1"/>
    <xf numFmtId="9" fontId="2" fillId="2" borderId="12" xfId="1" applyFont="1" applyFill="1" applyBorder="1"/>
    <xf numFmtId="9" fontId="2" fillId="2" borderId="13" xfId="1" applyFont="1" applyFill="1" applyBorder="1"/>
    <xf numFmtId="165" fontId="19" fillId="2" borderId="15" xfId="4" applyFill="1" applyBorder="1"/>
    <xf numFmtId="0" fontId="18" fillId="0" borderId="0" xfId="0" applyFont="1"/>
    <xf numFmtId="3" fontId="18" fillId="0" borderId="0" xfId="0" applyNumberFormat="1" applyFont="1"/>
    <xf numFmtId="9" fontId="2" fillId="2" borderId="0" xfId="1" applyFont="1" applyFill="1" applyBorder="1"/>
    <xf numFmtId="165" fontId="19" fillId="2" borderId="0" xfId="4" applyFill="1" applyBorder="1"/>
    <xf numFmtId="165" fontId="22" fillId="0" borderId="0" xfId="4" applyFont="1"/>
    <xf numFmtId="10" fontId="19" fillId="0" borderId="0" xfId="4" applyNumberFormat="1"/>
    <xf numFmtId="0" fontId="23" fillId="0" borderId="16" xfId="0" applyFont="1" applyBorder="1"/>
    <xf numFmtId="0" fontId="7" fillId="0" borderId="16" xfId="0" applyFont="1" applyBorder="1"/>
    <xf numFmtId="0" fontId="12" fillId="0" borderId="0" xfId="0" applyFont="1" applyAlignment="1">
      <alignment horizontal="right"/>
    </xf>
    <xf numFmtId="15" fontId="24" fillId="0" borderId="0" xfId="0" applyNumberFormat="1" applyFont="1"/>
    <xf numFmtId="0" fontId="9" fillId="0" borderId="19" xfId="0" applyFont="1" applyBorder="1"/>
    <xf numFmtId="3" fontId="9" fillId="0" borderId="0" xfId="0" applyNumberFormat="1" applyFont="1"/>
    <xf numFmtId="0" fontId="9" fillId="0" borderId="20" xfId="0" applyFont="1" applyBorder="1"/>
    <xf numFmtId="0" fontId="7" fillId="0" borderId="20" xfId="0" applyFont="1" applyBorder="1"/>
    <xf numFmtId="0" fontId="7" fillId="8" borderId="0" xfId="0" applyFont="1" applyFill="1"/>
    <xf numFmtId="0" fontId="5" fillId="0" borderId="0" xfId="0" applyFont="1" applyAlignment="1">
      <alignment horizontal="left"/>
    </xf>
    <xf numFmtId="3" fontId="3" fillId="6" borderId="1" xfId="0" applyNumberFormat="1" applyFont="1" applyFill="1" applyBorder="1"/>
    <xf numFmtId="0" fontId="3" fillId="6" borderId="1" xfId="0" applyFont="1" applyFill="1" applyBorder="1"/>
    <xf numFmtId="4" fontId="3" fillId="6" borderId="1" xfId="0" applyNumberFormat="1" applyFont="1" applyFill="1" applyBorder="1"/>
    <xf numFmtId="15" fontId="8" fillId="5" borderId="0" xfId="0" applyNumberFormat="1" applyFont="1" applyFill="1"/>
    <xf numFmtId="0" fontId="7" fillId="0" borderId="23" xfId="0" applyFont="1" applyBorder="1"/>
    <xf numFmtId="0" fontId="7" fillId="0" borderId="23" xfId="0" applyFont="1" applyBorder="1" applyAlignment="1">
      <alignment wrapText="1"/>
    </xf>
    <xf numFmtId="10" fontId="7" fillId="0" borderId="0" xfId="0" applyNumberFormat="1" applyFont="1"/>
    <xf numFmtId="10" fontId="7" fillId="0" borderId="23" xfId="0" applyNumberFormat="1" applyFont="1" applyBorder="1"/>
    <xf numFmtId="3" fontId="14" fillId="6" borderId="24" xfId="0" applyNumberFormat="1" applyFont="1" applyFill="1" applyBorder="1"/>
    <xf numFmtId="0" fontId="9" fillId="8" borderId="0" xfId="0" applyFont="1" applyFill="1"/>
    <xf numFmtId="0" fontId="25" fillId="0" borderId="22" xfId="0" applyFont="1" applyBorder="1"/>
    <xf numFmtId="3" fontId="14" fillId="6" borderId="0" xfId="0" applyNumberFormat="1" applyFont="1" applyFill="1"/>
    <xf numFmtId="0" fontId="3" fillId="8" borderId="0" xfId="0" applyFont="1" applyFill="1"/>
    <xf numFmtId="3" fontId="3" fillId="6" borderId="17" xfId="0" applyNumberFormat="1" applyFont="1" applyFill="1" applyBorder="1"/>
    <xf numFmtId="10" fontId="8" fillId="5" borderId="0" xfId="0" applyNumberFormat="1" applyFont="1" applyFill="1"/>
    <xf numFmtId="0" fontId="5" fillId="8" borderId="3" xfId="0" applyFont="1" applyFill="1" applyBorder="1"/>
    <xf numFmtId="10" fontId="14" fillId="6" borderId="0" xfId="0" applyNumberFormat="1" applyFont="1" applyFill="1"/>
    <xf numFmtId="0" fontId="7" fillId="0" borderId="24" xfId="0" applyFont="1" applyBorder="1"/>
    <xf numFmtId="10" fontId="8" fillId="5" borderId="24" xfId="0" applyNumberFormat="1" applyFont="1" applyFill="1" applyBorder="1"/>
    <xf numFmtId="4" fontId="7" fillId="0" borderId="24" xfId="0" applyNumberFormat="1" applyFont="1" applyBorder="1" applyAlignment="1">
      <alignment wrapText="1"/>
    </xf>
    <xf numFmtId="4" fontId="7" fillId="0" borderId="0" xfId="0" applyNumberFormat="1" applyFont="1"/>
    <xf numFmtId="0" fontId="27" fillId="0" borderId="0" xfId="0" applyFont="1"/>
    <xf numFmtId="0" fontId="7" fillId="0" borderId="25" xfId="0" applyFont="1" applyBorder="1"/>
    <xf numFmtId="0" fontId="7" fillId="0" borderId="26" xfId="0" applyFont="1" applyBorder="1"/>
    <xf numFmtId="4" fontId="14" fillId="6" borderId="27" xfId="0" applyNumberFormat="1" applyFont="1" applyFill="1" applyBorder="1"/>
    <xf numFmtId="0" fontId="7" fillId="0" borderId="28" xfId="0" applyFont="1" applyBorder="1"/>
    <xf numFmtId="4" fontId="7" fillId="0" borderId="23" xfId="0" applyNumberFormat="1" applyFont="1" applyBorder="1"/>
    <xf numFmtId="0" fontId="28" fillId="9" borderId="29" xfId="0" applyFont="1" applyFill="1" applyBorder="1"/>
    <xf numFmtId="0" fontId="7" fillId="0" borderId="30" xfId="0" applyFont="1" applyBorder="1"/>
    <xf numFmtId="10" fontId="29" fillId="0" borderId="0" xfId="0" applyNumberFormat="1" applyFont="1"/>
    <xf numFmtId="0" fontId="7" fillId="0" borderId="31" xfId="0" applyFont="1" applyBorder="1"/>
    <xf numFmtId="0" fontId="31" fillId="0" borderId="0" xfId="0" applyFont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9" fillId="0" borderId="34" xfId="0" applyFont="1" applyBorder="1"/>
    <xf numFmtId="0" fontId="9" fillId="0" borderId="33" xfId="0" applyFont="1" applyBorder="1"/>
    <xf numFmtId="3" fontId="14" fillId="6" borderId="36" xfId="0" applyNumberFormat="1" applyFont="1" applyFill="1" applyBorder="1"/>
    <xf numFmtId="0" fontId="14" fillId="6" borderId="0" xfId="0" applyFont="1" applyFill="1"/>
    <xf numFmtId="0" fontId="7" fillId="0" borderId="33" xfId="0" applyFont="1" applyBorder="1" applyAlignment="1">
      <alignment horizontal="left" vertical="top" wrapText="1"/>
    </xf>
    <xf numFmtId="3" fontId="14" fillId="6" borderId="2" xfId="0" applyNumberFormat="1" applyFont="1" applyFill="1" applyBorder="1"/>
    <xf numFmtId="0" fontId="7" fillId="0" borderId="34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top" wrapText="1"/>
    </xf>
    <xf numFmtId="3" fontId="7" fillId="0" borderId="38" xfId="0" applyNumberFormat="1" applyFont="1" applyBorder="1"/>
    <xf numFmtId="3" fontId="7" fillId="0" borderId="0" xfId="0" applyNumberFormat="1" applyFont="1"/>
    <xf numFmtId="0" fontId="3" fillId="9" borderId="39" xfId="0" applyFont="1" applyFill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32" fillId="0" borderId="0" xfId="0" applyFont="1" applyAlignment="1">
      <alignment horizontal="center"/>
    </xf>
    <xf numFmtId="0" fontId="3" fillId="9" borderId="42" xfId="0" applyFont="1" applyFill="1" applyBorder="1" applyAlignment="1">
      <alignment horizontal="left" vertical="top" wrapText="1"/>
    </xf>
    <xf numFmtId="0" fontId="3" fillId="9" borderId="43" xfId="0" applyFont="1" applyFill="1" applyBorder="1" applyAlignment="1">
      <alignment horizontal="left" vertical="top" wrapText="1"/>
    </xf>
    <xf numFmtId="2" fontId="3" fillId="6" borderId="17" xfId="0" applyNumberFormat="1" applyFont="1" applyFill="1" applyBorder="1"/>
    <xf numFmtId="2" fontId="14" fillId="6" borderId="21" xfId="0" applyNumberFormat="1" applyFont="1" applyFill="1" applyBorder="1"/>
    <xf numFmtId="2" fontId="14" fillId="6" borderId="18" xfId="0" applyNumberFormat="1" applyFont="1" applyFill="1" applyBorder="1"/>
    <xf numFmtId="165" fontId="19" fillId="8" borderId="0" xfId="4" applyFill="1"/>
    <xf numFmtId="2" fontId="7" fillId="0" borderId="0" xfId="0" applyNumberFormat="1" applyFont="1"/>
    <xf numFmtId="10" fontId="7" fillId="0" borderId="24" xfId="0" applyNumberFormat="1" applyFont="1" applyBorder="1"/>
    <xf numFmtId="2" fontId="3" fillId="6" borderId="1" xfId="0" applyNumberFormat="1" applyFont="1" applyFill="1" applyBorder="1"/>
    <xf numFmtId="2" fontId="14" fillId="6" borderId="2" xfId="0" applyNumberFormat="1" applyFont="1" applyFill="1" applyBorder="1"/>
    <xf numFmtId="0" fontId="33" fillId="0" borderId="32" xfId="0" applyFont="1" applyBorder="1"/>
    <xf numFmtId="2" fontId="7" fillId="0" borderId="43" xfId="0" applyNumberFormat="1" applyFont="1" applyBorder="1"/>
    <xf numFmtId="2" fontId="3" fillId="6" borderId="12" xfId="0" applyNumberFormat="1" applyFont="1" applyFill="1" applyBorder="1"/>
    <xf numFmtId="165" fontId="19" fillId="10" borderId="0" xfId="4" applyFill="1"/>
    <xf numFmtId="15" fontId="8" fillId="5" borderId="13" xfId="0" applyNumberFormat="1" applyFont="1" applyFill="1" applyBorder="1"/>
    <xf numFmtId="9" fontId="2" fillId="2" borderId="14" xfId="1" applyFont="1" applyFill="1" applyBorder="1"/>
    <xf numFmtId="9" fontId="2" fillId="2" borderId="11" xfId="1" applyFont="1" applyFill="1" applyBorder="1"/>
    <xf numFmtId="9" fontId="2" fillId="2" borderId="1" xfId="2" applyNumberFormat="1"/>
    <xf numFmtId="165" fontId="19" fillId="2" borderId="13" xfId="4" applyFill="1" applyBorder="1"/>
    <xf numFmtId="9" fontId="21" fillId="2" borderId="0" xfId="1" applyFont="1" applyFill="1" applyBorder="1"/>
    <xf numFmtId="0" fontId="34" fillId="0" borderId="0" xfId="0" applyFont="1"/>
    <xf numFmtId="165" fontId="19" fillId="2" borderId="12" xfId="4" applyFill="1" applyBorder="1"/>
    <xf numFmtId="165" fontId="19" fillId="7" borderId="0" xfId="4" applyFill="1"/>
    <xf numFmtId="166" fontId="7" fillId="0" borderId="20" xfId="0" applyNumberFormat="1" applyFont="1" applyBorder="1"/>
    <xf numFmtId="10" fontId="7" fillId="10" borderId="0" xfId="0" applyNumberFormat="1" applyFont="1" applyFill="1"/>
    <xf numFmtId="2" fontId="19" fillId="0" borderId="0" xfId="4" applyNumberFormat="1"/>
    <xf numFmtId="165" fontId="19" fillId="3" borderId="1" xfId="4" applyFill="1" applyBorder="1"/>
    <xf numFmtId="0" fontId="7" fillId="0" borderId="6" xfId="0" applyFont="1" applyBorder="1"/>
    <xf numFmtId="0" fontId="26" fillId="0" borderId="20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3" fontId="19" fillId="0" borderId="0" xfId="4" applyNumberFormat="1"/>
    <xf numFmtId="9" fontId="4" fillId="0" borderId="0" xfId="1" applyFont="1"/>
    <xf numFmtId="10" fontId="4" fillId="0" borderId="0" xfId="1" applyNumberFormat="1" applyFont="1"/>
  </cellXfs>
  <cellStyles count="6">
    <cellStyle name="Calculation" xfId="3" builtinId="22"/>
    <cellStyle name="Growth Rate" xfId="4" xr:uid="{CFD6B6E3-CEE4-4603-96EF-CF197307330A}"/>
    <cellStyle name="Input" xfId="2" builtinId="20"/>
    <cellStyle name="Normal" xfId="0" builtinId="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24BF-1F19-4320-BE16-B1924FC81754}">
  <dimension ref="A1:AH83"/>
  <sheetViews>
    <sheetView topLeftCell="A35" zoomScale="83" workbookViewId="0">
      <selection activeCell="M58" sqref="M58:M60"/>
    </sheetView>
  </sheetViews>
  <sheetFormatPr defaultRowHeight="14.4" x14ac:dyDescent="0.3"/>
  <cols>
    <col min="1" max="1" width="4.21875" customWidth="1"/>
    <col min="2" max="2" width="44.109375" bestFit="1" customWidth="1"/>
    <col min="3" max="3" width="15.5546875" customWidth="1"/>
    <col min="4" max="4" width="12.88671875" customWidth="1"/>
    <col min="5" max="5" width="15.21875" customWidth="1"/>
    <col min="6" max="6" width="12" customWidth="1"/>
    <col min="7" max="7" width="11.109375" customWidth="1"/>
    <col min="8" max="8" width="11" customWidth="1"/>
    <col min="9" max="9" width="11.88671875" customWidth="1"/>
    <col min="10" max="10" width="12.77734375" customWidth="1"/>
    <col min="11" max="11" width="10.33203125" customWidth="1"/>
    <col min="12" max="12" width="11.109375" customWidth="1"/>
    <col min="13" max="13" width="11" customWidth="1"/>
    <col min="14" max="14" width="11.6640625" customWidth="1"/>
    <col min="17" max="19" width="11.5546875" bestFit="1" customWidth="1"/>
    <col min="20" max="20" width="12" customWidth="1"/>
    <col min="21" max="21" width="14.5546875" customWidth="1"/>
    <col min="22" max="22" width="12.6640625" customWidth="1"/>
  </cols>
  <sheetData>
    <row r="1" spans="1:34" x14ac:dyDescent="0.3">
      <c r="A1" s="1"/>
      <c r="B1" s="2" t="s">
        <v>71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x14ac:dyDescent="0.3">
      <c r="A2" s="142"/>
      <c r="B2" s="142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3">
      <c r="A3" s="5"/>
      <c r="B3" s="7" t="s">
        <v>59</v>
      </c>
      <c r="C3" s="15" t="s">
        <v>72</v>
      </c>
      <c r="D3" s="7" t="s">
        <v>60</v>
      </c>
      <c r="E3" s="15" t="s">
        <v>73</v>
      </c>
      <c r="F3" s="5"/>
      <c r="G3" s="5"/>
      <c r="H3" s="9" t="s">
        <v>61</v>
      </c>
      <c r="I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3">
      <c r="A4" s="5"/>
      <c r="B4" s="7" t="s">
        <v>62</v>
      </c>
      <c r="C4" s="8" t="s">
        <v>74</v>
      </c>
      <c r="D4" s="7" t="s">
        <v>63</v>
      </c>
      <c r="E4" s="13" t="s">
        <v>75</v>
      </c>
      <c r="F4" s="5"/>
      <c r="G4" s="5"/>
      <c r="H4" s="10" t="s">
        <v>64</v>
      </c>
      <c r="I4" s="10" t="s">
        <v>65</v>
      </c>
      <c r="K4" s="16"/>
      <c r="L4" s="16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3">
      <c r="A5" s="5"/>
      <c r="B5" s="7" t="s">
        <v>66</v>
      </c>
      <c r="C5" s="13">
        <v>45657</v>
      </c>
      <c r="D5" s="7" t="s">
        <v>67</v>
      </c>
      <c r="E5" s="8" t="s">
        <v>76</v>
      </c>
      <c r="F5" s="5"/>
      <c r="G5" s="5"/>
      <c r="H5" s="11" t="s">
        <v>68</v>
      </c>
      <c r="I5" s="11" t="s">
        <v>69</v>
      </c>
      <c r="K5" s="17"/>
      <c r="L5" s="17"/>
      <c r="M5" s="1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3">
      <c r="A6" s="5"/>
      <c r="B6" s="5" t="s">
        <v>70</v>
      </c>
      <c r="C6" s="14">
        <v>500000</v>
      </c>
      <c r="D6" s="5"/>
      <c r="E6" s="5"/>
      <c r="F6" s="5"/>
      <c r="G6" s="5"/>
      <c r="H6" s="5"/>
      <c r="I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8" spans="1:34" x14ac:dyDescent="0.3">
      <c r="A8" s="5"/>
      <c r="B8" s="18" t="s">
        <v>17</v>
      </c>
      <c r="C8" s="18"/>
      <c r="D8" s="19">
        <v>43830</v>
      </c>
      <c r="E8" s="19">
        <f>EOMONTH(D8,12)</f>
        <v>44196</v>
      </c>
      <c r="F8" s="19">
        <f t="shared" ref="F8:I8" si="0">EOMONTH(E8,12)</f>
        <v>44561</v>
      </c>
      <c r="G8" s="19">
        <f t="shared" si="0"/>
        <v>44926</v>
      </c>
      <c r="H8" s="19">
        <f t="shared" si="0"/>
        <v>45291</v>
      </c>
      <c r="I8" s="19">
        <f t="shared" si="0"/>
        <v>45657</v>
      </c>
      <c r="J8" s="20">
        <v>46022</v>
      </c>
      <c r="K8" s="20">
        <v>46387</v>
      </c>
      <c r="L8" s="20">
        <v>46752</v>
      </c>
      <c r="M8" s="20">
        <v>47118</v>
      </c>
      <c r="N8" s="20">
        <v>47483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4" x14ac:dyDescent="0.3">
      <c r="A9" s="5"/>
      <c r="B9" s="21" t="s">
        <v>18</v>
      </c>
      <c r="C9" s="21"/>
      <c r="D9" s="22">
        <v>2019</v>
      </c>
      <c r="E9" s="22">
        <v>2020</v>
      </c>
      <c r="F9" s="22">
        <v>2021</v>
      </c>
      <c r="G9" s="22">
        <v>2022</v>
      </c>
      <c r="H9" s="22">
        <v>2023</v>
      </c>
      <c r="I9" s="22">
        <v>2024</v>
      </c>
      <c r="J9" s="22">
        <v>2025</v>
      </c>
      <c r="K9" s="22">
        <v>2026</v>
      </c>
      <c r="L9" s="22">
        <v>2027</v>
      </c>
      <c r="M9" s="22">
        <v>2028</v>
      </c>
      <c r="N9" s="22">
        <v>2029</v>
      </c>
      <c r="P9" s="5"/>
      <c r="Q9" s="23" t="s">
        <v>20</v>
      </c>
      <c r="R9" s="23" t="s">
        <v>19</v>
      </c>
      <c r="S9" s="23" t="s">
        <v>21</v>
      </c>
      <c r="T9" s="23" t="s">
        <v>77</v>
      </c>
      <c r="U9" s="23" t="s">
        <v>78</v>
      </c>
      <c r="W9" s="5"/>
      <c r="X9" s="24"/>
      <c r="Y9" s="24"/>
      <c r="Z9" s="5"/>
      <c r="AA9" s="5"/>
    </row>
    <row r="10" spans="1:34" ht="18.600000000000001" thickBot="1" x14ac:dyDescent="0.4">
      <c r="A10" s="5"/>
      <c r="B10" s="25" t="s">
        <v>94</v>
      </c>
      <c r="C10" s="25" t="s">
        <v>83</v>
      </c>
      <c r="D10" s="25"/>
      <c r="E10" s="25"/>
      <c r="F10" s="25"/>
      <c r="G10" s="26"/>
      <c r="H10" s="25"/>
      <c r="I10" s="26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34" s="12" customFormat="1" ht="15" thickTop="1" x14ac:dyDescent="0.3">
      <c r="B11" s="12" t="s">
        <v>0</v>
      </c>
      <c r="D11" s="33">
        <v>653195</v>
      </c>
      <c r="E11" s="33">
        <v>712648</v>
      </c>
      <c r="F11" s="33">
        <v>815446</v>
      </c>
      <c r="G11" s="33">
        <v>953656</v>
      </c>
      <c r="H11" s="33">
        <v>1179592</v>
      </c>
      <c r="I11" s="33">
        <v>1366006</v>
      </c>
      <c r="J11" s="33"/>
      <c r="K11" s="33"/>
      <c r="L11" s="33"/>
      <c r="M11" s="33"/>
      <c r="N11" s="33"/>
      <c r="O11" s="33"/>
      <c r="P11" s="33"/>
      <c r="Q11" s="33">
        <v>344972</v>
      </c>
      <c r="R11" s="33">
        <v>1366006</v>
      </c>
      <c r="S11" s="33">
        <v>398357</v>
      </c>
      <c r="T11" s="32">
        <f>S11/Q11-1</f>
        <v>0.15475168999223121</v>
      </c>
      <c r="U11" s="32">
        <f>S11/R11-1</f>
        <v>-0.70837829409241249</v>
      </c>
    </row>
    <row r="12" spans="1:34" s="12" customFormat="1" x14ac:dyDescent="0.3">
      <c r="B12" s="12" t="s">
        <v>1</v>
      </c>
      <c r="D12" s="33">
        <v>-130820</v>
      </c>
      <c r="E12" s="33">
        <v>-141483</v>
      </c>
      <c r="F12" s="33">
        <v>-135606</v>
      </c>
      <c r="G12" s="33">
        <v>-164020</v>
      </c>
      <c r="H12" s="33">
        <v>-242354</v>
      </c>
      <c r="I12" s="33">
        <v>-307599</v>
      </c>
      <c r="J12" s="33"/>
      <c r="K12" s="33"/>
      <c r="L12" s="33"/>
      <c r="M12" s="33"/>
      <c r="N12" s="33"/>
      <c r="O12" s="33"/>
      <c r="P12" s="33"/>
      <c r="Q12" s="33">
        <v>-79815</v>
      </c>
      <c r="R12" s="33">
        <v>-307599</v>
      </c>
      <c r="S12" s="33">
        <v>-86329</v>
      </c>
      <c r="T12" s="32">
        <f t="shared" ref="T12:T35" si="1">S12/Q12-1</f>
        <v>8.1613731754682783E-2</v>
      </c>
      <c r="U12" s="32">
        <f t="shared" ref="U12:U35" si="2">S12/R12-1</f>
        <v>-0.71934564156580483</v>
      </c>
    </row>
    <row r="13" spans="1:34" s="27" customFormat="1" x14ac:dyDescent="0.3">
      <c r="B13" s="27" t="s">
        <v>80</v>
      </c>
      <c r="D13" s="34">
        <f>D11+D12</f>
        <v>522375</v>
      </c>
      <c r="E13" s="34">
        <f t="shared" ref="E13:S13" si="3">E11+E12</f>
        <v>571165</v>
      </c>
      <c r="F13" s="34">
        <f t="shared" si="3"/>
        <v>679840</v>
      </c>
      <c r="G13" s="34">
        <f t="shared" si="3"/>
        <v>789636</v>
      </c>
      <c r="H13" s="34">
        <f t="shared" si="3"/>
        <v>937238</v>
      </c>
      <c r="I13" s="34">
        <f t="shared" si="3"/>
        <v>1058407</v>
      </c>
      <c r="J13" s="34"/>
      <c r="K13" s="34"/>
      <c r="L13" s="34"/>
      <c r="M13" s="34"/>
      <c r="N13" s="34"/>
      <c r="O13" s="34"/>
      <c r="P13" s="34"/>
      <c r="Q13" s="34">
        <f t="shared" si="3"/>
        <v>265157</v>
      </c>
      <c r="R13" s="34">
        <f t="shared" si="3"/>
        <v>1058407</v>
      </c>
      <c r="S13" s="34">
        <f t="shared" si="3"/>
        <v>312028</v>
      </c>
      <c r="T13" s="32">
        <f t="shared" si="1"/>
        <v>0.17676697202035019</v>
      </c>
      <c r="U13" s="32">
        <f t="shared" si="2"/>
        <v>-0.70519091427021929</v>
      </c>
    </row>
    <row r="14" spans="1:34" x14ac:dyDescent="0.3">
      <c r="B14" t="s">
        <v>2</v>
      </c>
      <c r="D14" s="35">
        <v>25554</v>
      </c>
      <c r="E14" s="35">
        <v>30484</v>
      </c>
      <c r="F14" s="35">
        <v>36309</v>
      </c>
      <c r="G14" s="35">
        <v>53424</v>
      </c>
      <c r="H14" s="35">
        <v>73362</v>
      </c>
      <c r="I14" s="35">
        <v>115589</v>
      </c>
      <c r="J14" s="35"/>
      <c r="K14" s="35"/>
      <c r="L14" s="35"/>
      <c r="M14" s="35"/>
      <c r="N14" s="35"/>
      <c r="O14" s="35"/>
      <c r="P14" s="35"/>
      <c r="Q14" s="35">
        <v>27052</v>
      </c>
      <c r="R14" s="35">
        <v>115589</v>
      </c>
      <c r="S14" s="35">
        <v>23481</v>
      </c>
      <c r="T14" s="32">
        <f t="shared" si="1"/>
        <v>-0.13200502735472419</v>
      </c>
      <c r="U14" s="32">
        <f t="shared" si="2"/>
        <v>-0.79685783249271125</v>
      </c>
    </row>
    <row r="15" spans="1:34" x14ac:dyDescent="0.3">
      <c r="B15" t="s">
        <v>3</v>
      </c>
      <c r="D15" s="35">
        <v>169153</v>
      </c>
      <c r="E15" s="35">
        <v>223416</v>
      </c>
      <c r="F15" s="35">
        <v>248541</v>
      </c>
      <c r="G15" s="35">
        <v>324929</v>
      </c>
      <c r="H15" s="35">
        <v>366487</v>
      </c>
      <c r="I15" s="35">
        <v>439366</v>
      </c>
      <c r="J15" s="35"/>
      <c r="K15" s="35"/>
      <c r="L15" s="35"/>
      <c r="M15" s="35"/>
      <c r="N15" s="35"/>
      <c r="O15" s="35"/>
      <c r="P15" s="35"/>
      <c r="Q15" s="35">
        <v>116134</v>
      </c>
      <c r="R15" s="35">
        <v>439366</v>
      </c>
      <c r="S15" s="35">
        <v>116680</v>
      </c>
      <c r="T15" s="32">
        <f t="shared" si="1"/>
        <v>4.7014655484181045E-3</v>
      </c>
      <c r="U15" s="32">
        <f t="shared" si="2"/>
        <v>-0.73443552755561425</v>
      </c>
    </row>
    <row r="16" spans="1:34" x14ac:dyDescent="0.3">
      <c r="B16" t="s">
        <v>4</v>
      </c>
      <c r="D16" s="35">
        <v>0</v>
      </c>
      <c r="E16" s="35">
        <v>0</v>
      </c>
      <c r="F16" s="35">
        <v>0</v>
      </c>
      <c r="G16" s="35">
        <v>0</v>
      </c>
      <c r="H16" s="35">
        <v>55</v>
      </c>
      <c r="I16" s="35">
        <v>65</v>
      </c>
      <c r="J16" s="35"/>
      <c r="K16" s="35"/>
      <c r="L16" s="35"/>
      <c r="M16" s="35"/>
      <c r="N16" s="35"/>
      <c r="O16" s="35"/>
      <c r="P16" s="35"/>
      <c r="Q16" s="35">
        <v>65</v>
      </c>
      <c r="R16" s="35">
        <v>65</v>
      </c>
      <c r="S16" s="35">
        <v>45</v>
      </c>
      <c r="T16" s="32">
        <f t="shared" si="1"/>
        <v>-0.30769230769230771</v>
      </c>
      <c r="U16" s="32">
        <f t="shared" si="2"/>
        <v>-0.30769230769230771</v>
      </c>
    </row>
    <row r="17" spans="2:21" x14ac:dyDescent="0.3">
      <c r="B17" t="s">
        <v>5</v>
      </c>
      <c r="D17" s="35">
        <v>9702</v>
      </c>
      <c r="E17" s="35">
        <v>14395</v>
      </c>
      <c r="F17" s="35">
        <v>20988</v>
      </c>
      <c r="G17" s="35">
        <v>23779</v>
      </c>
      <c r="H17" s="35">
        <v>28476</v>
      </c>
      <c r="I17" s="35">
        <v>23721</v>
      </c>
      <c r="J17" s="35"/>
      <c r="K17" s="35"/>
      <c r="L17" s="35"/>
      <c r="M17" s="35"/>
      <c r="N17" s="35"/>
      <c r="O17" s="35"/>
      <c r="P17" s="35"/>
      <c r="Q17" s="35">
        <v>5890</v>
      </c>
      <c r="R17" s="35">
        <v>23721</v>
      </c>
      <c r="S17" s="35">
        <v>7762</v>
      </c>
      <c r="T17" s="32">
        <f t="shared" si="1"/>
        <v>0.3178268251273344</v>
      </c>
      <c r="U17" s="32">
        <f t="shared" si="2"/>
        <v>-0.67277939378609664</v>
      </c>
    </row>
    <row r="18" spans="2:21" s="29" customFormat="1" x14ac:dyDescent="0.3">
      <c r="B18" s="29" t="s">
        <v>82</v>
      </c>
      <c r="D18" s="36">
        <f>D14+D15+D17</f>
        <v>204409</v>
      </c>
      <c r="E18" s="36">
        <f t="shared" ref="E18:G18" si="4">E14+E15+E17</f>
        <v>268295</v>
      </c>
      <c r="F18" s="36">
        <f t="shared" si="4"/>
        <v>305838</v>
      </c>
      <c r="G18" s="36">
        <f t="shared" si="4"/>
        <v>402132</v>
      </c>
      <c r="H18" s="36">
        <f>H14+H15+H17+H16</f>
        <v>468380</v>
      </c>
      <c r="I18" s="36">
        <f t="shared" ref="I18:S18" si="5">I14+I15+I17+I16</f>
        <v>578741</v>
      </c>
      <c r="J18" s="36"/>
      <c r="K18" s="36"/>
      <c r="L18" s="36"/>
      <c r="M18" s="36"/>
      <c r="N18" s="36"/>
      <c r="O18" s="36"/>
      <c r="P18" s="36"/>
      <c r="Q18" s="36">
        <f t="shared" si="5"/>
        <v>149141</v>
      </c>
      <c r="R18" s="36">
        <f t="shared" si="5"/>
        <v>578741</v>
      </c>
      <c r="S18" s="36">
        <f t="shared" si="5"/>
        <v>147968</v>
      </c>
      <c r="T18" s="32">
        <f t="shared" si="1"/>
        <v>-7.865040465063311E-3</v>
      </c>
      <c r="U18" s="32">
        <f t="shared" si="2"/>
        <v>-0.74432777356364932</v>
      </c>
    </row>
    <row r="19" spans="2:21" s="29" customFormat="1" x14ac:dyDescent="0.3">
      <c r="B19" s="29" t="s">
        <v>84</v>
      </c>
      <c r="D19" s="36">
        <f>D13+D18</f>
        <v>726784</v>
      </c>
      <c r="E19" s="36">
        <f t="shared" ref="E19:I19" si="6">E13+E18</f>
        <v>839460</v>
      </c>
      <c r="F19" s="36">
        <f t="shared" si="6"/>
        <v>985678</v>
      </c>
      <c r="G19" s="36">
        <f t="shared" si="6"/>
        <v>1191768</v>
      </c>
      <c r="H19" s="36">
        <f t="shared" si="6"/>
        <v>1405618</v>
      </c>
      <c r="I19" s="36">
        <f t="shared" si="6"/>
        <v>1637148</v>
      </c>
      <c r="J19" s="36"/>
      <c r="K19" s="36"/>
      <c r="L19" s="36"/>
      <c r="M19" s="36"/>
      <c r="N19" s="36"/>
      <c r="O19" s="36"/>
      <c r="P19" s="36"/>
      <c r="Q19" s="36">
        <f t="shared" ref="Q19:S19" si="7">Q13+Q18</f>
        <v>414298</v>
      </c>
      <c r="R19" s="36">
        <f t="shared" si="7"/>
        <v>1637148</v>
      </c>
      <c r="S19" s="36">
        <f t="shared" si="7"/>
        <v>459996</v>
      </c>
      <c r="T19" s="32">
        <f t="shared" si="1"/>
        <v>0.11030224620925044</v>
      </c>
      <c r="U19" s="32">
        <f t="shared" si="2"/>
        <v>-0.7190260135308475</v>
      </c>
    </row>
    <row r="20" spans="2:21" x14ac:dyDescent="0.3">
      <c r="B20" t="s">
        <v>6</v>
      </c>
      <c r="D20" s="35">
        <v>-182579</v>
      </c>
      <c r="E20" s="35">
        <v>-210174</v>
      </c>
      <c r="F20" s="35">
        <v>-243679</v>
      </c>
      <c r="G20" s="35">
        <v>-266296</v>
      </c>
      <c r="H20" s="35">
        <v>-297923</v>
      </c>
      <c r="I20" s="35">
        <v>-335656</v>
      </c>
      <c r="J20" s="35"/>
      <c r="K20" s="35"/>
      <c r="L20" s="35"/>
      <c r="M20" s="35"/>
      <c r="N20" s="35"/>
      <c r="O20" s="35"/>
      <c r="P20" s="35"/>
      <c r="Q20" s="35">
        <v>-85952</v>
      </c>
      <c r="R20" s="35">
        <v>-335656</v>
      </c>
      <c r="S20" s="35">
        <v>-95833</v>
      </c>
      <c r="T20" s="32">
        <f t="shared" si="1"/>
        <v>0.11495951228592705</v>
      </c>
      <c r="U20" s="32">
        <f t="shared" si="2"/>
        <v>-0.71449043067902851</v>
      </c>
    </row>
    <row r="21" spans="2:21" x14ac:dyDescent="0.3">
      <c r="B21" t="s">
        <v>7</v>
      </c>
      <c r="D21" s="35">
        <v>-10793</v>
      </c>
      <c r="E21" s="35">
        <v>-10603</v>
      </c>
      <c r="F21" s="35">
        <v>-9747</v>
      </c>
      <c r="G21" s="35">
        <v>-17746</v>
      </c>
      <c r="H21" s="35">
        <v>-15328</v>
      </c>
      <c r="I21" s="35">
        <v>10398</v>
      </c>
      <c r="J21" s="35"/>
      <c r="K21" s="35"/>
      <c r="L21" s="35"/>
      <c r="M21" s="35"/>
      <c r="N21" s="35"/>
      <c r="O21" s="35"/>
      <c r="P21" s="35"/>
      <c r="Q21" s="35">
        <v>-1491</v>
      </c>
      <c r="R21" s="35">
        <v>10398</v>
      </c>
      <c r="S21" s="35">
        <v>-2863</v>
      </c>
      <c r="T21" s="32">
        <f t="shared" si="1"/>
        <v>0.92018779342723001</v>
      </c>
      <c r="U21" s="32">
        <f t="shared" si="2"/>
        <v>-1.2753414118099635</v>
      </c>
    </row>
    <row r="22" spans="2:21" x14ac:dyDescent="0.3">
      <c r="B22" t="s">
        <v>8</v>
      </c>
      <c r="D22" s="35">
        <v>-217141</v>
      </c>
      <c r="E22" s="35">
        <v>-198091</v>
      </c>
      <c r="F22" s="35">
        <v>-201098</v>
      </c>
      <c r="G22" s="35">
        <v>-211381</v>
      </c>
      <c r="H22" s="35">
        <v>-233131</v>
      </c>
      <c r="I22" s="35">
        <v>-293129</v>
      </c>
      <c r="J22" s="35"/>
      <c r="K22" s="35"/>
      <c r="L22" s="35"/>
      <c r="M22" s="35"/>
      <c r="N22" s="35"/>
      <c r="O22" s="35"/>
      <c r="P22" s="35"/>
      <c r="Q22" s="35">
        <v>-65609</v>
      </c>
      <c r="R22" s="35">
        <v>-293129</v>
      </c>
      <c r="S22" s="35">
        <v>-74259</v>
      </c>
      <c r="T22" s="32">
        <f t="shared" si="1"/>
        <v>0.1318416680638328</v>
      </c>
      <c r="U22" s="32">
        <f t="shared" si="2"/>
        <v>-0.74666784930866614</v>
      </c>
    </row>
    <row r="23" spans="2:21" s="12" customFormat="1" x14ac:dyDescent="0.3">
      <c r="B23" s="12" t="s">
        <v>8</v>
      </c>
      <c r="D23" s="33">
        <f>D20+D21+D22</f>
        <v>-410513</v>
      </c>
      <c r="E23" s="33">
        <f t="shared" ref="E23:S23" si="8">E20+E21+E22</f>
        <v>-418868</v>
      </c>
      <c r="F23" s="33">
        <f t="shared" si="8"/>
        <v>-454524</v>
      </c>
      <c r="G23" s="33">
        <f t="shared" si="8"/>
        <v>-495423</v>
      </c>
      <c r="H23" s="33">
        <f>H20+H21+H22</f>
        <v>-546382</v>
      </c>
      <c r="I23" s="33">
        <f t="shared" si="8"/>
        <v>-618387</v>
      </c>
      <c r="J23" s="33"/>
      <c r="K23" s="33"/>
      <c r="L23" s="33"/>
      <c r="M23" s="33"/>
      <c r="N23" s="33"/>
      <c r="O23" s="33"/>
      <c r="P23" s="33"/>
      <c r="Q23" s="33">
        <f t="shared" si="8"/>
        <v>-153052</v>
      </c>
      <c r="R23" s="33">
        <f t="shared" si="8"/>
        <v>-618387</v>
      </c>
      <c r="S23" s="33">
        <f t="shared" si="8"/>
        <v>-172955</v>
      </c>
      <c r="T23" s="32">
        <f t="shared" si="1"/>
        <v>0.13004077045709961</v>
      </c>
      <c r="U23" s="32">
        <f t="shared" si="2"/>
        <v>-0.72031268445164598</v>
      </c>
    </row>
    <row r="24" spans="2:21" x14ac:dyDescent="0.3">
      <c r="B24" t="s">
        <v>81</v>
      </c>
      <c r="D24" s="35">
        <v>-100410</v>
      </c>
      <c r="E24" s="35">
        <v>-119312</v>
      </c>
      <c r="F24" s="35">
        <v>-113129</v>
      </c>
      <c r="G24" s="35">
        <v>-81180</v>
      </c>
      <c r="H24" s="35">
        <f>-84435</f>
        <v>-84435</v>
      </c>
      <c r="I24" s="35">
        <v>-87471</v>
      </c>
      <c r="J24" s="35"/>
      <c r="K24" s="35"/>
      <c r="L24" s="35"/>
      <c r="M24" s="35"/>
      <c r="N24" s="35"/>
      <c r="O24" s="35"/>
      <c r="P24" s="35"/>
      <c r="Q24" s="35">
        <v>-25145</v>
      </c>
      <c r="R24" s="35">
        <v>-87471</v>
      </c>
      <c r="S24" s="35">
        <v>-23193</v>
      </c>
      <c r="T24" s="32">
        <f t="shared" si="1"/>
        <v>-7.7629747464704746E-2</v>
      </c>
      <c r="U24" s="32">
        <f t="shared" si="2"/>
        <v>-0.73484926432760567</v>
      </c>
    </row>
    <row r="25" spans="2:21" s="30" customFormat="1" x14ac:dyDescent="0.3">
      <c r="B25" s="30" t="s">
        <v>85</v>
      </c>
      <c r="D25" s="37">
        <f>D19+D23+D24</f>
        <v>215861</v>
      </c>
      <c r="E25" s="37">
        <f t="shared" ref="E25:S25" si="9">E19+E23+E24</f>
        <v>301280</v>
      </c>
      <c r="F25" s="37">
        <f t="shared" si="9"/>
        <v>418025</v>
      </c>
      <c r="G25" s="37">
        <f t="shared" si="9"/>
        <v>615165</v>
      </c>
      <c r="H25" s="37">
        <f>H19+H23+H24</f>
        <v>774801</v>
      </c>
      <c r="I25" s="37">
        <f t="shared" si="9"/>
        <v>931290</v>
      </c>
      <c r="J25" s="37"/>
      <c r="K25" s="37"/>
      <c r="L25" s="37"/>
      <c r="M25" s="37"/>
      <c r="N25" s="37"/>
      <c r="O25" s="37"/>
      <c r="P25" s="37"/>
      <c r="Q25" s="37">
        <f t="shared" si="9"/>
        <v>236101</v>
      </c>
      <c r="R25" s="37">
        <f t="shared" si="9"/>
        <v>931290</v>
      </c>
      <c r="S25" s="37">
        <f t="shared" si="9"/>
        <v>263848</v>
      </c>
      <c r="T25" s="32">
        <f t="shared" si="1"/>
        <v>0.11752173857798143</v>
      </c>
      <c r="U25" s="32">
        <f t="shared" si="2"/>
        <v>-0.71668545780583925</v>
      </c>
    </row>
    <row r="26" spans="2:21" x14ac:dyDescent="0.3">
      <c r="B26" t="s">
        <v>9</v>
      </c>
      <c r="D26" s="35">
        <v>-71122</v>
      </c>
      <c r="E26" s="35">
        <v>-90980</v>
      </c>
      <c r="F26" s="35">
        <v>-125876</v>
      </c>
      <c r="G26" s="35">
        <v>-183493</v>
      </c>
      <c r="H26" s="35">
        <v>-229594</v>
      </c>
      <c r="I26" s="35">
        <v>-284397</v>
      </c>
      <c r="J26" s="35"/>
      <c r="K26" s="35"/>
      <c r="L26" s="35"/>
      <c r="M26" s="35"/>
      <c r="N26" s="35"/>
      <c r="O26" s="35"/>
      <c r="P26" s="35"/>
      <c r="Q26" s="35">
        <v>-74356</v>
      </c>
      <c r="R26" s="35">
        <v>-284397</v>
      </c>
      <c r="S26" s="35">
        <v>-79094</v>
      </c>
      <c r="T26" s="32">
        <f t="shared" si="1"/>
        <v>6.3720479853677015E-2</v>
      </c>
      <c r="U26" s="32">
        <f t="shared" si="2"/>
        <v>-0.72188876816562764</v>
      </c>
    </row>
    <row r="27" spans="2:21" s="28" customFormat="1" x14ac:dyDescent="0.3">
      <c r="B27" s="28" t="s">
        <v>86</v>
      </c>
      <c r="D27" s="38">
        <f>D25+D26</f>
        <v>144739</v>
      </c>
      <c r="E27" s="38">
        <f t="shared" ref="E27:I27" si="10">E25+E26</f>
        <v>210300</v>
      </c>
      <c r="F27" s="38">
        <f t="shared" si="10"/>
        <v>292149</v>
      </c>
      <c r="G27" s="38">
        <f t="shared" si="10"/>
        <v>431672</v>
      </c>
      <c r="H27" s="38">
        <f t="shared" si="10"/>
        <v>545207</v>
      </c>
      <c r="I27" s="38">
        <f t="shared" si="10"/>
        <v>646893</v>
      </c>
      <c r="J27" s="38"/>
      <c r="K27" s="38"/>
      <c r="L27" s="38"/>
      <c r="M27" s="38"/>
      <c r="N27" s="38"/>
      <c r="O27" s="38"/>
      <c r="P27" s="38"/>
      <c r="Q27" s="38">
        <f t="shared" ref="Q27:S27" si="11">Q25+Q26</f>
        <v>161745</v>
      </c>
      <c r="R27" s="38">
        <f t="shared" si="11"/>
        <v>646893</v>
      </c>
      <c r="S27" s="38">
        <f t="shared" si="11"/>
        <v>184754</v>
      </c>
      <c r="T27" s="32">
        <f t="shared" si="1"/>
        <v>0.14225478376456779</v>
      </c>
      <c r="U27" s="32">
        <f t="shared" si="2"/>
        <v>-0.71439789887972194</v>
      </c>
    </row>
    <row r="28" spans="2:21" x14ac:dyDescent="0.3">
      <c r="B28" t="s">
        <v>10</v>
      </c>
      <c r="D28" s="35">
        <v>0</v>
      </c>
      <c r="E28" s="35">
        <v>0</v>
      </c>
      <c r="F28" s="35">
        <v>-228</v>
      </c>
      <c r="G28" s="35">
        <v>521</v>
      </c>
      <c r="H28" s="35">
        <v>464</v>
      </c>
      <c r="I28" s="35">
        <v>500</v>
      </c>
      <c r="J28" s="35"/>
      <c r="K28" s="35"/>
      <c r="L28" s="35"/>
      <c r="M28" s="35"/>
      <c r="N28" s="35"/>
      <c r="O28" s="35"/>
      <c r="P28" s="35"/>
      <c r="Q28" s="35">
        <v>2588</v>
      </c>
      <c r="R28" s="35">
        <v>500</v>
      </c>
      <c r="S28" s="35">
        <v>3273</v>
      </c>
      <c r="T28" s="32">
        <f t="shared" si="1"/>
        <v>0.26468315301391043</v>
      </c>
      <c r="U28" s="32">
        <f t="shared" si="2"/>
        <v>5.5460000000000003</v>
      </c>
    </row>
    <row r="29" spans="2:21" x14ac:dyDescent="0.3">
      <c r="B29" t="s">
        <v>11</v>
      </c>
      <c r="D29" s="35">
        <v>168</v>
      </c>
      <c r="E29" s="35">
        <v>-257</v>
      </c>
      <c r="F29" s="35">
        <v>0</v>
      </c>
      <c r="G29" s="35">
        <v>0</v>
      </c>
      <c r="H29" s="35">
        <v>0</v>
      </c>
      <c r="I29" s="35">
        <v>0</v>
      </c>
      <c r="J29" s="35"/>
      <c r="K29" s="35"/>
      <c r="L29" s="35"/>
      <c r="M29" s="35"/>
      <c r="N29" s="35"/>
      <c r="O29" s="35"/>
      <c r="P29" s="35"/>
      <c r="Q29" s="35">
        <v>0</v>
      </c>
      <c r="R29" s="35">
        <v>0</v>
      </c>
      <c r="S29" s="35">
        <v>0</v>
      </c>
      <c r="T29" s="32" t="e">
        <f>IFERROR(S29/Q29-1,NA())</f>
        <v>#N/A</v>
      </c>
      <c r="U29" s="32" t="e">
        <f>IFERROR(T29/R29-1,NA())</f>
        <v>#N/A</v>
      </c>
    </row>
    <row r="30" spans="2:21" s="28" customFormat="1" x14ac:dyDescent="0.3">
      <c r="B30" s="28" t="s">
        <v>12</v>
      </c>
      <c r="D30" s="38">
        <f>D27+D28+D29</f>
        <v>144907</v>
      </c>
      <c r="E30" s="38">
        <f t="shared" ref="E30:S30" si="12">E27+E28+E29</f>
        <v>210043</v>
      </c>
      <c r="F30" s="38">
        <f t="shared" si="12"/>
        <v>291921</v>
      </c>
      <c r="G30" s="38">
        <f t="shared" si="12"/>
        <v>432193</v>
      </c>
      <c r="H30" s="38">
        <f t="shared" si="12"/>
        <v>545671</v>
      </c>
      <c r="I30" s="38">
        <f t="shared" si="12"/>
        <v>647393</v>
      </c>
      <c r="J30" s="38"/>
      <c r="K30" s="38"/>
      <c r="L30" s="38"/>
      <c r="M30" s="38"/>
      <c r="N30" s="38"/>
      <c r="O30" s="38"/>
      <c r="P30" s="38"/>
      <c r="Q30" s="38">
        <f t="shared" si="12"/>
        <v>164333</v>
      </c>
      <c r="R30" s="38">
        <f t="shared" si="12"/>
        <v>647393</v>
      </c>
      <c r="S30" s="38">
        <f t="shared" si="12"/>
        <v>188027</v>
      </c>
      <c r="T30" s="32">
        <f t="shared" si="1"/>
        <v>0.14418284824107142</v>
      </c>
      <c r="U30" s="32">
        <f t="shared" si="2"/>
        <v>-0.70956281578577463</v>
      </c>
    </row>
    <row r="31" spans="2:21" x14ac:dyDescent="0.3">
      <c r="B31" t="s">
        <v>13</v>
      </c>
      <c r="D31" s="35">
        <v>3450</v>
      </c>
      <c r="E31" s="35">
        <v>3474</v>
      </c>
      <c r="F31" s="35">
        <v>3482</v>
      </c>
      <c r="G31" s="35">
        <v>3544</v>
      </c>
      <c r="H31" s="35">
        <v>3442</v>
      </c>
      <c r="I31" s="35">
        <v>3463</v>
      </c>
      <c r="J31" s="35"/>
      <c r="K31" s="35"/>
      <c r="L31" s="35"/>
      <c r="M31" s="35"/>
      <c r="N31" s="35"/>
      <c r="O31" s="35"/>
      <c r="P31" s="35"/>
      <c r="Q31" s="35">
        <v>3847</v>
      </c>
      <c r="R31" s="35">
        <v>3463</v>
      </c>
      <c r="S31" s="35">
        <v>4044</v>
      </c>
      <c r="T31" s="32">
        <f t="shared" si="1"/>
        <v>5.1208734078502793E-2</v>
      </c>
      <c r="U31" s="32">
        <f t="shared" si="2"/>
        <v>0.16777360669939356</v>
      </c>
    </row>
    <row r="32" spans="2:21" x14ac:dyDescent="0.3">
      <c r="B32" t="s">
        <v>14</v>
      </c>
      <c r="D32" s="35">
        <v>289</v>
      </c>
      <c r="E32" s="35">
        <v>420</v>
      </c>
      <c r="F32" s="35">
        <v>584</v>
      </c>
      <c r="G32" s="35">
        <v>863</v>
      </c>
      <c r="H32" s="35">
        <v>1010</v>
      </c>
      <c r="I32" s="35">
        <v>1205</v>
      </c>
      <c r="J32" s="35"/>
      <c r="K32" s="35"/>
      <c r="L32" s="35"/>
      <c r="M32" s="35"/>
      <c r="N32" s="35"/>
      <c r="O32" s="35"/>
      <c r="P32" s="35"/>
      <c r="Q32" s="35">
        <v>1294</v>
      </c>
      <c r="R32" s="35">
        <v>1205</v>
      </c>
      <c r="S32" s="35">
        <v>1478</v>
      </c>
      <c r="T32" s="32">
        <f t="shared" si="1"/>
        <v>0.14219474497681617</v>
      </c>
      <c r="U32" s="32">
        <f t="shared" si="2"/>
        <v>0.22655601659751046</v>
      </c>
    </row>
    <row r="33" spans="1:27" x14ac:dyDescent="0.3">
      <c r="B33" t="s">
        <v>15</v>
      </c>
      <c r="D33" s="35">
        <v>289</v>
      </c>
      <c r="E33" s="35">
        <v>420</v>
      </c>
      <c r="F33" s="35">
        <v>584</v>
      </c>
      <c r="G33" s="35">
        <v>863</v>
      </c>
      <c r="H33" s="35">
        <v>1010</v>
      </c>
      <c r="I33" s="35">
        <v>1205</v>
      </c>
      <c r="J33" s="35"/>
      <c r="K33" s="35"/>
      <c r="L33" s="35"/>
      <c r="M33" s="35"/>
      <c r="N33" s="35"/>
      <c r="O33" s="35"/>
      <c r="P33" s="35"/>
      <c r="Q33" s="35">
        <v>1294</v>
      </c>
      <c r="R33" s="35">
        <v>1205</v>
      </c>
      <c r="S33" s="35">
        <v>1478</v>
      </c>
      <c r="T33" s="32">
        <f t="shared" si="1"/>
        <v>0.14219474497681617</v>
      </c>
      <c r="U33" s="32">
        <f t="shared" si="2"/>
        <v>0.22655601659751046</v>
      </c>
    </row>
    <row r="34" spans="1:27" x14ac:dyDescent="0.3">
      <c r="B34" t="s">
        <v>16</v>
      </c>
      <c r="D34" s="35">
        <v>224</v>
      </c>
      <c r="E34" s="35">
        <v>226</v>
      </c>
      <c r="F34" s="35">
        <v>226</v>
      </c>
      <c r="G34" s="35">
        <v>227</v>
      </c>
      <c r="H34" s="35">
        <v>231</v>
      </c>
      <c r="I34" s="35">
        <v>240</v>
      </c>
      <c r="J34" s="35"/>
      <c r="K34" s="35"/>
      <c r="L34" s="35"/>
      <c r="M34" s="35"/>
      <c r="N34" s="35"/>
      <c r="O34" s="35"/>
      <c r="P34" s="35"/>
      <c r="Q34" s="35">
        <v>240</v>
      </c>
      <c r="R34" s="35">
        <v>240</v>
      </c>
      <c r="S34" s="35">
        <v>242</v>
      </c>
      <c r="T34" s="32">
        <f t="shared" si="1"/>
        <v>8.3333333333333037E-3</v>
      </c>
      <c r="U34" s="32">
        <f t="shared" si="2"/>
        <v>8.3333333333333037E-3</v>
      </c>
    </row>
    <row r="35" spans="1:27" x14ac:dyDescent="0.3">
      <c r="B35" s="12" t="s">
        <v>88</v>
      </c>
      <c r="D35" s="31">
        <f>D27/$C$6</f>
        <v>0.28947800000000001</v>
      </c>
      <c r="E35" s="31">
        <f t="shared" ref="E35:S35" si="13">E27/$C$6</f>
        <v>0.42059999999999997</v>
      </c>
      <c r="F35" s="31">
        <f t="shared" si="13"/>
        <v>0.58429799999999998</v>
      </c>
      <c r="G35" s="31">
        <f t="shared" si="13"/>
        <v>0.863344</v>
      </c>
      <c r="H35" s="31">
        <f t="shared" si="13"/>
        <v>1.090414</v>
      </c>
      <c r="I35" s="31">
        <f t="shared" si="13"/>
        <v>1.2937860000000001</v>
      </c>
      <c r="Q35" s="31">
        <f t="shared" si="13"/>
        <v>0.32349</v>
      </c>
      <c r="R35" s="31">
        <f t="shared" si="13"/>
        <v>1.2937860000000001</v>
      </c>
      <c r="S35" s="31">
        <f t="shared" si="13"/>
        <v>0.369508</v>
      </c>
      <c r="T35" s="32">
        <f t="shared" si="1"/>
        <v>0.14225478376456779</v>
      </c>
      <c r="U35" s="32">
        <f t="shared" si="2"/>
        <v>-0.71439789887972194</v>
      </c>
    </row>
    <row r="36" spans="1:27" x14ac:dyDescent="0.3">
      <c r="A36" s="5"/>
      <c r="B36" s="18" t="s">
        <v>17</v>
      </c>
      <c r="C36" s="18"/>
      <c r="D36" s="19">
        <v>43830</v>
      </c>
      <c r="E36" s="19">
        <f>EOMONTH(D36,12)</f>
        <v>44196</v>
      </c>
      <c r="F36" s="19">
        <f t="shared" ref="F36:I36" si="14">EOMONTH(E36,12)</f>
        <v>44561</v>
      </c>
      <c r="G36" s="19">
        <f t="shared" si="14"/>
        <v>44926</v>
      </c>
      <c r="H36" s="19">
        <f t="shared" si="14"/>
        <v>45291</v>
      </c>
      <c r="I36" s="19">
        <f t="shared" si="14"/>
        <v>45657</v>
      </c>
      <c r="J36" s="20">
        <v>46022</v>
      </c>
      <c r="K36" s="20">
        <v>46387</v>
      </c>
      <c r="L36" s="20">
        <v>46752</v>
      </c>
      <c r="M36" s="20">
        <v>47118</v>
      </c>
      <c r="N36" s="20">
        <v>47483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3">
      <c r="A37" s="5"/>
      <c r="B37" s="21" t="s">
        <v>18</v>
      </c>
      <c r="C37" s="21"/>
      <c r="D37" s="22">
        <v>2019</v>
      </c>
      <c r="E37" s="22">
        <v>2020</v>
      </c>
      <c r="F37" s="22">
        <v>2021</v>
      </c>
      <c r="G37" s="22">
        <v>2022</v>
      </c>
      <c r="H37" s="22">
        <v>2023</v>
      </c>
      <c r="I37" s="22">
        <v>2024</v>
      </c>
      <c r="J37" s="22">
        <v>2025</v>
      </c>
      <c r="K37" s="22">
        <v>2026</v>
      </c>
      <c r="L37" s="22">
        <v>2027</v>
      </c>
      <c r="M37" s="22">
        <v>2028</v>
      </c>
      <c r="N37" s="22">
        <v>2029</v>
      </c>
      <c r="P37" s="5"/>
      <c r="Q37" s="23" t="s">
        <v>20</v>
      </c>
      <c r="R37" s="23" t="s">
        <v>19</v>
      </c>
      <c r="S37" s="23" t="s">
        <v>21</v>
      </c>
      <c r="T37" s="23" t="s">
        <v>77</v>
      </c>
      <c r="U37" s="23" t="s">
        <v>78</v>
      </c>
      <c r="W37" s="5"/>
      <c r="X37" s="24"/>
      <c r="Y37" s="24"/>
      <c r="Z37" s="5"/>
      <c r="AA37" s="5"/>
    </row>
    <row r="38" spans="1:27" ht="18.600000000000001" thickBot="1" x14ac:dyDescent="0.4">
      <c r="A38" s="5"/>
      <c r="B38" s="25" t="s">
        <v>87</v>
      </c>
      <c r="C38" s="25" t="s">
        <v>83</v>
      </c>
      <c r="D38" s="25"/>
      <c r="E38" s="25"/>
      <c r="F38" s="25"/>
      <c r="G38" s="26"/>
      <c r="H38" s="25"/>
      <c r="I38" s="26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5" thickTop="1" x14ac:dyDescent="0.3">
      <c r="B39" s="12" t="s">
        <v>22</v>
      </c>
    </row>
    <row r="40" spans="1:27" x14ac:dyDescent="0.3">
      <c r="B40" t="s">
        <v>23</v>
      </c>
      <c r="D40" s="35">
        <v>498231</v>
      </c>
      <c r="E40" s="35">
        <v>661689</v>
      </c>
      <c r="F40" s="35">
        <v>484254</v>
      </c>
      <c r="G40" s="35">
        <v>474868</v>
      </c>
      <c r="H40" s="35">
        <v>549108</v>
      </c>
      <c r="I40" s="35">
        <v>603717</v>
      </c>
      <c r="J40" s="35"/>
      <c r="K40" s="35"/>
      <c r="L40" s="35"/>
      <c r="M40" s="35"/>
      <c r="N40" s="35"/>
      <c r="O40" s="35"/>
      <c r="P40" s="35"/>
      <c r="Q40" s="35">
        <v>553932</v>
      </c>
      <c r="R40" s="35">
        <v>603717</v>
      </c>
      <c r="S40" s="35">
        <v>650820</v>
      </c>
      <c r="T40" s="32">
        <f>S40/Q40-1</f>
        <v>0.17490955568553535</v>
      </c>
      <c r="U40" s="32">
        <f>S40/R40-1</f>
        <v>7.8021655842058557E-2</v>
      </c>
    </row>
    <row r="41" spans="1:27" x14ac:dyDescent="0.3">
      <c r="B41" t="s">
        <v>24</v>
      </c>
      <c r="D41" s="35">
        <v>842909</v>
      </c>
      <c r="E41" s="35">
        <v>385799</v>
      </c>
      <c r="F41" s="35">
        <v>999775</v>
      </c>
      <c r="G41" s="35">
        <v>1076453</v>
      </c>
      <c r="H41" s="35">
        <v>791826</v>
      </c>
      <c r="I41" s="35">
        <v>846853</v>
      </c>
      <c r="J41" s="35"/>
      <c r="K41" s="35"/>
      <c r="L41" s="35"/>
      <c r="M41" s="35"/>
      <c r="N41" s="35"/>
      <c r="O41" s="35"/>
      <c r="P41" s="35"/>
      <c r="Q41" s="35">
        <v>1013306</v>
      </c>
      <c r="R41" s="35">
        <v>846853</v>
      </c>
      <c r="S41" s="35">
        <v>1016988</v>
      </c>
      <c r="T41" s="32">
        <f t="shared" ref="T41:T46" si="15">S41/Q41-1</f>
        <v>3.6336506445240335E-3</v>
      </c>
      <c r="U41" s="32">
        <f t="shared" ref="U41:U45" si="16">S41/R41-1</f>
        <v>0.20090263599467684</v>
      </c>
    </row>
    <row r="42" spans="1:27" x14ac:dyDescent="0.3">
      <c r="B42" t="s">
        <v>25</v>
      </c>
      <c r="D42" s="35">
        <v>761554</v>
      </c>
      <c r="E42" s="35">
        <v>1304253</v>
      </c>
      <c r="F42" s="35">
        <v>1739280</v>
      </c>
      <c r="G42" s="35">
        <v>1944032</v>
      </c>
      <c r="H42" s="35">
        <v>2273605</v>
      </c>
      <c r="I42" s="35">
        <v>2268763</v>
      </c>
      <c r="J42" s="35"/>
      <c r="K42" s="35"/>
      <c r="L42" s="35"/>
      <c r="M42" s="35"/>
      <c r="N42" s="35"/>
      <c r="O42" s="35"/>
      <c r="P42" s="35"/>
      <c r="Q42" s="35">
        <v>2172575</v>
      </c>
      <c r="R42" s="35">
        <v>2268763</v>
      </c>
      <c r="S42" s="35">
        <v>2377581</v>
      </c>
      <c r="T42" s="32">
        <f t="shared" si="15"/>
        <v>9.4360839096463867E-2</v>
      </c>
      <c r="U42" s="32">
        <f t="shared" si="16"/>
        <v>4.7963581916665499E-2</v>
      </c>
    </row>
    <row r="43" spans="1:27" x14ac:dyDescent="0.3">
      <c r="B43" t="s">
        <v>26</v>
      </c>
      <c r="D43" s="35">
        <v>264326</v>
      </c>
      <c r="E43" s="35">
        <v>170829</v>
      </c>
      <c r="F43" s="35">
        <v>337255</v>
      </c>
      <c r="G43" s="35">
        <v>186941</v>
      </c>
      <c r="H43" s="35">
        <v>220936</v>
      </c>
      <c r="I43" s="35">
        <v>171173</v>
      </c>
      <c r="J43" s="35"/>
      <c r="K43" s="35"/>
      <c r="L43" s="35"/>
      <c r="M43" s="35"/>
      <c r="N43" s="35"/>
      <c r="O43" s="35"/>
      <c r="P43" s="35"/>
      <c r="Q43" s="35">
        <v>292433</v>
      </c>
      <c r="R43" s="35">
        <v>171173</v>
      </c>
      <c r="S43" s="35">
        <v>212888</v>
      </c>
      <c r="T43" s="32">
        <f t="shared" si="15"/>
        <v>-0.27201102474754901</v>
      </c>
      <c r="U43" s="32">
        <f t="shared" si="16"/>
        <v>0.24370081730179405</v>
      </c>
    </row>
    <row r="44" spans="1:27" x14ac:dyDescent="0.3">
      <c r="B44" t="s">
        <v>27</v>
      </c>
      <c r="D44" s="35">
        <v>4152</v>
      </c>
      <c r="E44" s="35">
        <v>1449</v>
      </c>
      <c r="F44" s="35">
        <v>22521</v>
      </c>
      <c r="G44" s="35">
        <v>34392</v>
      </c>
      <c r="H44" s="35">
        <v>0</v>
      </c>
      <c r="I44" s="35">
        <v>0</v>
      </c>
      <c r="J44" s="35"/>
      <c r="K44" s="35"/>
      <c r="L44" s="35"/>
      <c r="M44" s="35"/>
      <c r="N44" s="35"/>
      <c r="O44" s="35"/>
      <c r="P44" s="35"/>
      <c r="Q44" s="35">
        <v>24805</v>
      </c>
      <c r="R44" s="35">
        <v>0</v>
      </c>
      <c r="S44" s="35">
        <v>78285</v>
      </c>
      <c r="T44" s="32">
        <f t="shared" si="15"/>
        <v>2.156016932070147</v>
      </c>
      <c r="U44" s="32"/>
    </row>
    <row r="45" spans="1:27" x14ac:dyDescent="0.3">
      <c r="B45" t="s">
        <v>28</v>
      </c>
      <c r="D45" s="35">
        <v>0</v>
      </c>
      <c r="E45" s="35">
        <v>0</v>
      </c>
      <c r="F45" s="35">
        <v>0</v>
      </c>
      <c r="G45" s="35">
        <v>0</v>
      </c>
      <c r="H45" s="35">
        <v>374</v>
      </c>
      <c r="I45" s="35">
        <v>60</v>
      </c>
      <c r="J45" s="35"/>
      <c r="K45" s="35"/>
      <c r="L45" s="35"/>
      <c r="M45" s="35"/>
      <c r="N45" s="35"/>
      <c r="O45" s="35"/>
      <c r="P45" s="35"/>
      <c r="Q45" s="35">
        <v>0</v>
      </c>
      <c r="R45" s="35">
        <v>60</v>
      </c>
      <c r="S45" s="35">
        <v>250</v>
      </c>
      <c r="T45" s="32"/>
      <c r="U45" s="32">
        <f t="shared" si="16"/>
        <v>3.166666666666667</v>
      </c>
    </row>
    <row r="46" spans="1:27" x14ac:dyDescent="0.3">
      <c r="B46" t="s">
        <v>29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/>
      <c r="K46" s="35"/>
      <c r="L46" s="35"/>
      <c r="M46" s="35"/>
      <c r="N46" s="35"/>
      <c r="O46" s="35"/>
      <c r="P46" s="35"/>
      <c r="Q46" s="35">
        <v>13287</v>
      </c>
      <c r="R46" s="35">
        <v>0</v>
      </c>
      <c r="S46" s="35">
        <v>2656</v>
      </c>
      <c r="T46" s="32">
        <f t="shared" si="15"/>
        <v>-0.80010536614736205</v>
      </c>
      <c r="U46" s="32"/>
    </row>
    <row r="47" spans="1:27" x14ac:dyDescent="0.3">
      <c r="B47" t="s">
        <v>30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/>
      <c r="K47" s="35"/>
      <c r="L47" s="35"/>
      <c r="M47" s="35"/>
      <c r="N47" s="35"/>
      <c r="O47" s="35"/>
      <c r="P47" s="35"/>
      <c r="Q47" s="35">
        <v>0</v>
      </c>
      <c r="R47" s="35">
        <v>0</v>
      </c>
      <c r="S47" s="35">
        <v>0</v>
      </c>
      <c r="T47" s="32"/>
      <c r="U47" s="32"/>
    </row>
    <row r="48" spans="1:27" x14ac:dyDescent="0.3">
      <c r="B48" t="s">
        <v>31</v>
      </c>
      <c r="D48" s="35">
        <v>0</v>
      </c>
      <c r="E48" s="35">
        <v>0</v>
      </c>
      <c r="F48" s="35">
        <v>0</v>
      </c>
      <c r="G48" s="35">
        <v>0</v>
      </c>
      <c r="H48" s="35">
        <v>115823</v>
      </c>
      <c r="I48" s="35">
        <v>749235</v>
      </c>
      <c r="J48" s="35"/>
      <c r="K48" s="35"/>
      <c r="L48" s="35"/>
      <c r="M48" s="35"/>
      <c r="N48" s="35"/>
      <c r="O48" s="35"/>
      <c r="P48" s="35"/>
      <c r="Q48" s="35">
        <v>400189</v>
      </c>
      <c r="R48" s="35">
        <v>749235</v>
      </c>
      <c r="S48" s="35">
        <v>958210</v>
      </c>
      <c r="T48" s="32">
        <f>S48/Q48-1</f>
        <v>1.3943936490008473</v>
      </c>
      <c r="U48" s="32">
        <f>S48/R48-1</f>
        <v>0.27891782951944322</v>
      </c>
    </row>
    <row r="49" spans="2:21" x14ac:dyDescent="0.3">
      <c r="B49" t="s">
        <v>32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/>
      <c r="K49" s="35"/>
      <c r="L49" s="35"/>
      <c r="M49" s="35"/>
      <c r="N49" s="35"/>
      <c r="O49" s="35"/>
      <c r="P49" s="35"/>
      <c r="Q49" s="35">
        <v>11905</v>
      </c>
      <c r="R49" s="35">
        <v>0</v>
      </c>
      <c r="S49" s="35">
        <v>19025</v>
      </c>
      <c r="T49" s="32">
        <f>S49/Q49-1</f>
        <v>0.5980680386392272</v>
      </c>
      <c r="U49" s="32"/>
    </row>
    <row r="50" spans="2:21" x14ac:dyDescent="0.3">
      <c r="B50" t="s">
        <v>89</v>
      </c>
      <c r="D50" s="35">
        <v>3590006</v>
      </c>
      <c r="E50" s="35">
        <v>4108891</v>
      </c>
      <c r="F50" s="35">
        <v>4653933</v>
      </c>
      <c r="G50" s="35">
        <v>6014603</v>
      </c>
      <c r="H50" s="35">
        <v>7706925</v>
      </c>
      <c r="I50" s="35">
        <v>8498677</v>
      </c>
      <c r="J50" s="35"/>
      <c r="K50" s="35"/>
      <c r="L50" s="35"/>
      <c r="M50" s="35"/>
      <c r="N50" s="35"/>
      <c r="O50" s="35"/>
      <c r="P50" s="35"/>
      <c r="Q50" s="35">
        <v>8364764</v>
      </c>
      <c r="R50" s="35">
        <v>8498677</v>
      </c>
      <c r="S50" s="35">
        <v>9538204</v>
      </c>
      <c r="T50" s="32">
        <f>S50/Q50-1</f>
        <v>0.14028369479401936</v>
      </c>
      <c r="U50" s="32">
        <f>S50/R50-1</f>
        <v>0.12231633229501493</v>
      </c>
    </row>
    <row r="51" spans="2:21" x14ac:dyDescent="0.3">
      <c r="B51" t="s">
        <v>90</v>
      </c>
      <c r="D51" s="35">
        <v>214160</v>
      </c>
      <c r="E51" s="35">
        <v>207086</v>
      </c>
      <c r="F51" s="35">
        <v>221839</v>
      </c>
      <c r="G51" s="35">
        <v>298123</v>
      </c>
      <c r="H51" s="35">
        <v>311967</v>
      </c>
      <c r="I51" s="35">
        <v>387935</v>
      </c>
      <c r="J51" s="35"/>
      <c r="K51" s="35"/>
      <c r="L51" s="35"/>
      <c r="M51" s="35"/>
      <c r="N51" s="35"/>
      <c r="O51" s="35"/>
      <c r="P51" s="35"/>
      <c r="Q51" s="35">
        <v>345467</v>
      </c>
      <c r="R51" s="35">
        <v>387935</v>
      </c>
      <c r="S51" s="35">
        <v>381304</v>
      </c>
      <c r="T51" s="32">
        <f>S51/Q51-1</f>
        <v>0.10373494429279795</v>
      </c>
      <c r="U51" s="32">
        <f>S51/R51-1</f>
        <v>-1.7093069715287346E-2</v>
      </c>
    </row>
    <row r="52" spans="2:21" x14ac:dyDescent="0.3">
      <c r="B52" t="s">
        <v>33</v>
      </c>
      <c r="D52" s="35">
        <v>2920</v>
      </c>
      <c r="E52" s="35">
        <v>2920</v>
      </c>
      <c r="F52" s="35">
        <v>2920</v>
      </c>
      <c r="G52" s="35">
        <v>2920</v>
      </c>
      <c r="H52" s="35">
        <v>2920</v>
      </c>
      <c r="I52" s="35">
        <v>4233</v>
      </c>
      <c r="J52" s="35"/>
      <c r="K52" s="35"/>
      <c r="L52" s="35"/>
      <c r="M52" s="35"/>
      <c r="N52" s="35"/>
      <c r="O52" s="35"/>
      <c r="P52" s="35"/>
      <c r="Q52" s="35">
        <v>4234</v>
      </c>
      <c r="R52" s="35">
        <v>4233</v>
      </c>
      <c r="S52" s="35">
        <v>4233</v>
      </c>
      <c r="T52" s="32">
        <f>S52/Q52-1</f>
        <v>-2.361832782239448E-4</v>
      </c>
      <c r="U52" s="32">
        <f>S52/R52-1</f>
        <v>0</v>
      </c>
    </row>
    <row r="53" spans="2:21" x14ac:dyDescent="0.3">
      <c r="B53" t="s">
        <v>34</v>
      </c>
      <c r="D53" s="35">
        <f>0</f>
        <v>0</v>
      </c>
      <c r="E53" s="35">
        <f>0</f>
        <v>0</v>
      </c>
      <c r="F53" s="35">
        <f>0</f>
        <v>0</v>
      </c>
      <c r="G53" s="35">
        <f>0</f>
        <v>0</v>
      </c>
      <c r="H53" s="35">
        <f>0</f>
        <v>0</v>
      </c>
      <c r="I53" s="35">
        <f>0</f>
        <v>0</v>
      </c>
      <c r="J53" s="35"/>
      <c r="K53" s="35"/>
      <c r="L53" s="35"/>
      <c r="M53" s="35"/>
      <c r="N53" s="35"/>
      <c r="O53" s="35"/>
      <c r="P53" s="35"/>
      <c r="Q53" s="35">
        <f>0</f>
        <v>0</v>
      </c>
      <c r="R53" s="35">
        <f>0</f>
        <v>0</v>
      </c>
      <c r="S53" s="35">
        <f>0</f>
        <v>0</v>
      </c>
      <c r="T53" s="32"/>
      <c r="U53" s="32"/>
    </row>
    <row r="54" spans="2:21" x14ac:dyDescent="0.3">
      <c r="B54" t="s">
        <v>35</v>
      </c>
      <c r="D54" s="35">
        <v>239169</v>
      </c>
      <c r="E54" s="35">
        <v>215715</v>
      </c>
      <c r="F54" s="35">
        <v>219644</v>
      </c>
      <c r="G54" s="35">
        <v>202200</v>
      </c>
      <c r="H54" s="35">
        <v>206078</v>
      </c>
      <c r="I54" s="35">
        <v>205044</v>
      </c>
      <c r="J54" s="35"/>
      <c r="K54" s="35"/>
      <c r="L54" s="35"/>
      <c r="M54" s="35"/>
      <c r="N54" s="35"/>
      <c r="O54" s="35"/>
      <c r="P54" s="35"/>
      <c r="Q54" s="35">
        <v>197316</v>
      </c>
      <c r="R54" s="35">
        <v>205044</v>
      </c>
      <c r="S54" s="35">
        <v>230956</v>
      </c>
      <c r="T54" s="32">
        <f>S54/Q54-1</f>
        <v>0.170487948265726</v>
      </c>
      <c r="U54" s="32">
        <f>S54/R54-1</f>
        <v>0.12637287606562486</v>
      </c>
    </row>
    <row r="55" spans="2:21" s="28" customFormat="1" x14ac:dyDescent="0.3">
      <c r="B55" s="28" t="s">
        <v>36</v>
      </c>
      <c r="D55" s="38">
        <f>D40+D41+D42+D43+D44+D45+D46+D47+D48+D49+D50+D51+D52+D53+D54</f>
        <v>6417427</v>
      </c>
      <c r="E55" s="38">
        <f t="shared" ref="E55:R55" si="17">E40+E41+E42+E43+E44+E45+E46+E47+E48+E49+E50+E51+E52+E53+E54</f>
        <v>7058631</v>
      </c>
      <c r="F55" s="38">
        <f t="shared" si="17"/>
        <v>8681421</v>
      </c>
      <c r="G55" s="38">
        <f t="shared" si="17"/>
        <v>10234532</v>
      </c>
      <c r="H55" s="38">
        <f t="shared" si="17"/>
        <v>12179562</v>
      </c>
      <c r="I55" s="38">
        <f t="shared" si="17"/>
        <v>13735690</v>
      </c>
      <c r="J55" s="38"/>
      <c r="K55" s="38"/>
      <c r="L55" s="38"/>
      <c r="M55" s="38"/>
      <c r="N55" s="38"/>
      <c r="O55" s="38"/>
      <c r="P55" s="38"/>
      <c r="Q55" s="38">
        <f t="shared" si="17"/>
        <v>13394213</v>
      </c>
      <c r="R55" s="38">
        <f t="shared" si="17"/>
        <v>13735690</v>
      </c>
      <c r="S55" s="38">
        <f>S40+S41+S42+S43+S44+S45+S46+S47+S48+S49+S50+S51+S52+S53+S54</f>
        <v>15471400</v>
      </c>
      <c r="T55" s="32">
        <f>S55/Q55-1</f>
        <v>0.15508092935359463</v>
      </c>
      <c r="U55" s="32">
        <f>S55/R55-1</f>
        <v>0.12636496601190039</v>
      </c>
    </row>
    <row r="56" spans="2:21" x14ac:dyDescent="0.3">
      <c r="B56" s="12" t="s">
        <v>37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</row>
    <row r="57" spans="2:21" x14ac:dyDescent="0.3">
      <c r="B57" t="s">
        <v>38</v>
      </c>
      <c r="D57" s="35">
        <v>33446</v>
      </c>
      <c r="E57" s="35">
        <v>131224</v>
      </c>
      <c r="F57" s="35">
        <v>408</v>
      </c>
      <c r="G57" s="35">
        <v>12445</v>
      </c>
      <c r="H57" s="35">
        <v>15008</v>
      </c>
      <c r="I57" s="35">
        <v>73</v>
      </c>
      <c r="J57" s="35"/>
      <c r="K57" s="35"/>
      <c r="L57" s="35"/>
      <c r="M57" s="35"/>
      <c r="N57" s="35"/>
      <c r="O57" s="35"/>
      <c r="P57" s="35"/>
      <c r="Q57" s="35">
        <v>60401</v>
      </c>
      <c r="R57" s="35">
        <v>73</v>
      </c>
      <c r="S57" s="35">
        <v>33124</v>
      </c>
      <c r="T57" s="32">
        <f>S57/Q57-1</f>
        <v>-0.4515984834688167</v>
      </c>
      <c r="U57" s="32">
        <f>S57/R57-1</f>
        <v>452.75342465753425</v>
      </c>
    </row>
    <row r="58" spans="2:21" x14ac:dyDescent="0.3">
      <c r="B58" t="s">
        <v>39</v>
      </c>
      <c r="D58" s="35">
        <v>4882123</v>
      </c>
      <c r="E58" s="35">
        <v>5247973</v>
      </c>
      <c r="F58" s="35">
        <v>6506582</v>
      </c>
      <c r="G58" s="35">
        <v>7434402</v>
      </c>
      <c r="H58" s="35">
        <v>8342031</v>
      </c>
      <c r="I58" s="35">
        <v>9433295</v>
      </c>
      <c r="J58" s="35"/>
      <c r="K58" s="35"/>
      <c r="L58" s="35"/>
      <c r="M58" s="35"/>
      <c r="N58" s="35"/>
      <c r="O58" s="35"/>
      <c r="P58" s="35"/>
      <c r="Q58" s="35">
        <v>9022435</v>
      </c>
      <c r="R58" s="35">
        <v>9433295</v>
      </c>
      <c r="S58" s="35">
        <v>10866583</v>
      </c>
      <c r="T58" s="32">
        <f t="shared" ref="T58:T67" si="18">S58/Q58-1</f>
        <v>0.20439581997542788</v>
      </c>
      <c r="U58" s="32">
        <f t="shared" ref="U58:U67" si="19">S58/R58-1</f>
        <v>0.15193927466489709</v>
      </c>
    </row>
    <row r="59" spans="2:21" x14ac:dyDescent="0.3">
      <c r="B59" t="s">
        <v>40</v>
      </c>
      <c r="D59" s="35">
        <v>19833</v>
      </c>
      <c r="E59" s="35">
        <v>36645</v>
      </c>
      <c r="F59" s="35">
        <v>149408</v>
      </c>
      <c r="G59" s="35">
        <v>144435</v>
      </c>
      <c r="H59" s="35">
        <v>97267</v>
      </c>
      <c r="I59" s="35">
        <v>97405</v>
      </c>
      <c r="J59" s="35"/>
      <c r="K59" s="35"/>
      <c r="L59" s="35"/>
      <c r="M59" s="35"/>
      <c r="N59" s="35"/>
      <c r="O59" s="35"/>
      <c r="P59" s="35"/>
      <c r="Q59" s="35">
        <v>82340</v>
      </c>
      <c r="R59" s="35">
        <v>97405</v>
      </c>
      <c r="S59" s="35">
        <v>83851</v>
      </c>
      <c r="T59" s="32">
        <f t="shared" si="18"/>
        <v>1.8350740830701984E-2</v>
      </c>
      <c r="U59" s="32">
        <f t="shared" si="19"/>
        <v>-0.13915096760946566</v>
      </c>
    </row>
    <row r="60" spans="2:21" x14ac:dyDescent="0.3">
      <c r="B60" t="s">
        <v>41</v>
      </c>
      <c r="D60" s="35">
        <v>14595</v>
      </c>
      <c r="E60" s="35">
        <v>40833</v>
      </c>
      <c r="F60" s="35">
        <v>6899</v>
      </c>
      <c r="G60" s="35">
        <v>15995</v>
      </c>
      <c r="H60" s="35">
        <v>26310</v>
      </c>
      <c r="I60" s="35">
        <v>33522</v>
      </c>
      <c r="J60" s="35"/>
      <c r="K60" s="35"/>
      <c r="L60" s="35"/>
      <c r="M60" s="35"/>
      <c r="N60" s="35"/>
      <c r="O60" s="35"/>
      <c r="P60" s="35"/>
      <c r="Q60" s="35">
        <v>41997</v>
      </c>
      <c r="R60" s="35">
        <v>33522</v>
      </c>
      <c r="S60" s="35">
        <v>66485</v>
      </c>
      <c r="T60" s="32">
        <f t="shared" si="18"/>
        <v>0.58308926828106777</v>
      </c>
      <c r="U60" s="32">
        <f t="shared" si="19"/>
        <v>0.98332438398663569</v>
      </c>
    </row>
    <row r="61" spans="2:21" x14ac:dyDescent="0.3">
      <c r="B61" t="s">
        <v>92</v>
      </c>
      <c r="D61" s="35">
        <v>0</v>
      </c>
      <c r="E61" s="35">
        <v>2118</v>
      </c>
      <c r="F61" s="35">
        <v>2178</v>
      </c>
      <c r="G61" s="35">
        <v>2178</v>
      </c>
      <c r="H61" s="35">
        <v>1983</v>
      </c>
      <c r="I61" s="35">
        <v>1879</v>
      </c>
      <c r="J61" s="35"/>
      <c r="K61" s="35"/>
      <c r="L61" s="35"/>
      <c r="M61" s="35"/>
      <c r="N61" s="35"/>
      <c r="O61" s="35"/>
      <c r="P61" s="35"/>
      <c r="Q61" s="35">
        <v>1891</v>
      </c>
      <c r="R61" s="35">
        <v>1879</v>
      </c>
      <c r="S61" s="35">
        <v>765</v>
      </c>
      <c r="T61" s="32">
        <f t="shared" si="18"/>
        <v>-0.59545214172395555</v>
      </c>
      <c r="U61" s="32">
        <f t="shared" si="19"/>
        <v>-0.59286854709952097</v>
      </c>
    </row>
    <row r="62" spans="2:21" x14ac:dyDescent="0.3">
      <c r="B62" t="s">
        <v>42</v>
      </c>
      <c r="D62" s="35">
        <v>33355</v>
      </c>
      <c r="E62" s="35">
        <v>36682</v>
      </c>
      <c r="F62" s="35">
        <v>47700</v>
      </c>
      <c r="G62" s="35">
        <v>51569</v>
      </c>
      <c r="H62" s="35">
        <v>58895</v>
      </c>
      <c r="I62" s="35">
        <v>49636</v>
      </c>
      <c r="J62" s="35"/>
      <c r="K62" s="35"/>
      <c r="L62" s="35"/>
      <c r="M62" s="35"/>
      <c r="N62" s="35"/>
      <c r="O62" s="35"/>
      <c r="P62" s="35"/>
      <c r="Q62" s="35">
        <v>138332</v>
      </c>
      <c r="R62" s="35">
        <v>49636</v>
      </c>
      <c r="S62" s="35">
        <v>154269</v>
      </c>
      <c r="T62" s="32">
        <f t="shared" si="18"/>
        <v>0.11520833935748787</v>
      </c>
      <c r="U62" s="32">
        <f t="shared" si="19"/>
        <v>2.1080062857603354</v>
      </c>
    </row>
    <row r="63" spans="2:21" x14ac:dyDescent="0.3">
      <c r="B63" t="s">
        <v>93</v>
      </c>
      <c r="D63" s="35">
        <v>0</v>
      </c>
      <c r="E63" s="35">
        <v>0</v>
      </c>
      <c r="F63" s="35">
        <v>0</v>
      </c>
      <c r="G63" s="35">
        <v>52290</v>
      </c>
      <c r="H63" s="35">
        <v>60988</v>
      </c>
      <c r="I63" s="35">
        <v>68962</v>
      </c>
      <c r="J63" s="35"/>
      <c r="K63" s="35"/>
      <c r="L63" s="35"/>
      <c r="M63" s="35"/>
      <c r="N63" s="35"/>
      <c r="O63" s="35"/>
      <c r="P63" s="35"/>
      <c r="Q63" s="35">
        <v>65606</v>
      </c>
      <c r="R63" s="35">
        <v>68962</v>
      </c>
      <c r="S63" s="35">
        <v>84511</v>
      </c>
      <c r="T63" s="32">
        <f t="shared" si="18"/>
        <v>0.28815961954699265</v>
      </c>
      <c r="U63" s="32">
        <f t="shared" si="19"/>
        <v>0.2254719990719527</v>
      </c>
    </row>
    <row r="64" spans="2:21" x14ac:dyDescent="0.3">
      <c r="B64" t="s">
        <v>43</v>
      </c>
      <c r="D64" s="35">
        <v>117530</v>
      </c>
      <c r="E64" s="35">
        <v>108272</v>
      </c>
      <c r="F64" s="35">
        <v>119465</v>
      </c>
      <c r="G64" s="35">
        <v>81854</v>
      </c>
      <c r="H64" s="35">
        <v>104310</v>
      </c>
      <c r="I64" s="35">
        <v>122034</v>
      </c>
      <c r="J64" s="35"/>
      <c r="K64" s="35"/>
      <c r="L64" s="35"/>
      <c r="M64" s="35"/>
      <c r="N64" s="35"/>
      <c r="O64" s="35"/>
      <c r="P64" s="35"/>
      <c r="Q64" s="35">
        <v>106150</v>
      </c>
      <c r="R64" s="35">
        <v>122034</v>
      </c>
      <c r="S64" s="35">
        <v>125138</v>
      </c>
      <c r="T64" s="32">
        <f t="shared" si="18"/>
        <v>0.17887894488930756</v>
      </c>
      <c r="U64" s="32">
        <f t="shared" si="19"/>
        <v>2.5435534359276923E-2</v>
      </c>
    </row>
    <row r="65" spans="1:27" x14ac:dyDescent="0.3">
      <c r="B65" t="s">
        <v>44</v>
      </c>
      <c r="D65" s="35">
        <v>347443</v>
      </c>
      <c r="E65" s="35">
        <v>323740</v>
      </c>
      <c r="F65" s="35">
        <v>494215</v>
      </c>
      <c r="G65" s="35">
        <v>749354</v>
      </c>
      <c r="H65" s="35">
        <v>1380193</v>
      </c>
      <c r="I65" s="35">
        <v>1369504</v>
      </c>
      <c r="J65" s="35"/>
      <c r="K65" s="35"/>
      <c r="L65" s="35"/>
      <c r="M65" s="35"/>
      <c r="N65" s="35"/>
      <c r="O65" s="35"/>
      <c r="P65" s="35"/>
      <c r="Q65" s="35">
        <v>1485355</v>
      </c>
      <c r="R65" s="35">
        <v>1369504</v>
      </c>
      <c r="S65" s="35">
        <v>1167108</v>
      </c>
      <c r="T65" s="32">
        <f t="shared" si="18"/>
        <v>-0.21425652453453892</v>
      </c>
      <c r="U65" s="32">
        <f t="shared" si="19"/>
        <v>-0.14778781222982917</v>
      </c>
    </row>
    <row r="66" spans="1:27" s="28" customFormat="1" x14ac:dyDescent="0.3">
      <c r="B66" s="28" t="s">
        <v>45</v>
      </c>
      <c r="D66" s="38">
        <f>D57+D58+D59+D60+D61+D62+D63+D64+D65</f>
        <v>5448325</v>
      </c>
      <c r="E66" s="38">
        <f t="shared" ref="E66:I66" si="20">E57+E58+E59+E60+E61+E62+E63+E64+E65</f>
        <v>5927487</v>
      </c>
      <c r="F66" s="38">
        <f t="shared" si="20"/>
        <v>7326855</v>
      </c>
      <c r="G66" s="38">
        <f t="shared" si="20"/>
        <v>8544522</v>
      </c>
      <c r="H66" s="38">
        <f t="shared" si="20"/>
        <v>10086985</v>
      </c>
      <c r="I66" s="38">
        <f t="shared" si="20"/>
        <v>11176310</v>
      </c>
      <c r="J66" s="38"/>
      <c r="K66" s="38"/>
      <c r="L66" s="38"/>
      <c r="M66" s="38"/>
      <c r="N66" s="38"/>
      <c r="O66" s="38"/>
      <c r="P66" s="38"/>
      <c r="Q66" s="38">
        <f t="shared" ref="Q66:S66" si="21">Q57+Q58+Q59+Q60+Q61+Q62+Q63+Q64+Q65</f>
        <v>11004507</v>
      </c>
      <c r="R66" s="38">
        <f t="shared" si="21"/>
        <v>11176310</v>
      </c>
      <c r="S66" s="38">
        <f t="shared" si="21"/>
        <v>12581834</v>
      </c>
      <c r="T66" s="32">
        <f t="shared" si="18"/>
        <v>0.14333463552706172</v>
      </c>
      <c r="U66" s="32">
        <f t="shared" si="19"/>
        <v>0.1257592174877038</v>
      </c>
    </row>
    <row r="67" spans="1:27" x14ac:dyDescent="0.3">
      <c r="B67" t="s">
        <v>46</v>
      </c>
      <c r="D67" s="35">
        <f>D55-D66</f>
        <v>969102</v>
      </c>
      <c r="E67" s="35">
        <f t="shared" ref="E67:S67" si="22">E55-E66</f>
        <v>1131144</v>
      </c>
      <c r="F67" s="35">
        <f t="shared" si="22"/>
        <v>1354566</v>
      </c>
      <c r="G67" s="35">
        <f t="shared" si="22"/>
        <v>1690010</v>
      </c>
      <c r="H67" s="35">
        <f t="shared" si="22"/>
        <v>2092577</v>
      </c>
      <c r="I67" s="35">
        <f t="shared" si="22"/>
        <v>2559380</v>
      </c>
      <c r="J67" s="35"/>
      <c r="K67" s="35"/>
      <c r="L67" s="35"/>
      <c r="M67" s="35"/>
      <c r="N67" s="35"/>
      <c r="O67" s="35"/>
      <c r="P67" s="35"/>
      <c r="Q67" s="35">
        <f t="shared" si="22"/>
        <v>2389706</v>
      </c>
      <c r="R67" s="35">
        <f t="shared" si="22"/>
        <v>2559380</v>
      </c>
      <c r="S67" s="35">
        <f t="shared" si="22"/>
        <v>2889566</v>
      </c>
      <c r="T67" s="32">
        <f t="shared" si="18"/>
        <v>0.20917217431767754</v>
      </c>
      <c r="U67" s="32">
        <f t="shared" si="19"/>
        <v>0.12901015089592005</v>
      </c>
    </row>
    <row r="68" spans="1:27" x14ac:dyDescent="0.3">
      <c r="B68" s="12" t="s">
        <v>47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</row>
    <row r="69" spans="1:27" x14ac:dyDescent="0.3">
      <c r="B69" t="s">
        <v>48</v>
      </c>
      <c r="D69" s="35">
        <v>20000</v>
      </c>
      <c r="E69" s="35">
        <v>20000</v>
      </c>
      <c r="F69" s="35">
        <v>20000</v>
      </c>
      <c r="G69" s="35">
        <v>20000</v>
      </c>
      <c r="H69" s="35">
        <v>20000</v>
      </c>
      <c r="I69" s="35">
        <v>20000</v>
      </c>
      <c r="J69" s="35"/>
      <c r="K69" s="35"/>
      <c r="L69" s="35"/>
      <c r="M69" s="35"/>
      <c r="N69" s="35"/>
      <c r="O69" s="35"/>
      <c r="P69" s="35"/>
      <c r="Q69" s="35">
        <v>20000</v>
      </c>
      <c r="R69" s="35">
        <v>20000</v>
      </c>
      <c r="S69" s="35">
        <v>20000</v>
      </c>
      <c r="T69" s="32">
        <f>S69/Q69-1</f>
        <v>0</v>
      </c>
      <c r="U69" s="32">
        <f>S69/R69-1</f>
        <v>0</v>
      </c>
    </row>
    <row r="70" spans="1:27" x14ac:dyDescent="0.3">
      <c r="B70" t="s">
        <v>49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/>
      <c r="K70" s="35"/>
      <c r="L70" s="35"/>
      <c r="M70" s="35"/>
      <c r="N70" s="35"/>
      <c r="O70" s="35"/>
      <c r="P70" s="35"/>
      <c r="Q70" s="35">
        <v>0</v>
      </c>
      <c r="R70" s="35">
        <v>0</v>
      </c>
      <c r="S70" s="35">
        <v>0</v>
      </c>
      <c r="T70" s="32" t="e">
        <f t="shared" ref="T70:T75" si="23">S70/Q70-1</f>
        <v>#DIV/0!</v>
      </c>
      <c r="U70" s="32" t="e">
        <f t="shared" ref="U70:U75" si="24">S70/R70-1</f>
        <v>#DIV/0!</v>
      </c>
    </row>
    <row r="71" spans="1:27" x14ac:dyDescent="0.3">
      <c r="B71" t="s">
        <v>50</v>
      </c>
      <c r="D71" s="35">
        <v>799733</v>
      </c>
      <c r="E71" s="35">
        <v>896141</v>
      </c>
      <c r="F71" s="35">
        <v>1037870</v>
      </c>
      <c r="G71" s="35">
        <v>1233149</v>
      </c>
      <c r="H71" s="35">
        <v>1521379</v>
      </c>
      <c r="I71" s="35">
        <v>1885633</v>
      </c>
      <c r="J71" s="35"/>
      <c r="K71" s="35"/>
      <c r="L71" s="35"/>
      <c r="M71" s="35"/>
      <c r="N71" s="35"/>
      <c r="O71" s="35"/>
      <c r="P71" s="35"/>
      <c r="Q71" s="35">
        <v>1885996</v>
      </c>
      <c r="R71" s="35">
        <v>1885633</v>
      </c>
      <c r="S71" s="35">
        <v>2318101</v>
      </c>
      <c r="T71" s="32">
        <f t="shared" si="23"/>
        <v>0.22911236291063175</v>
      </c>
      <c r="U71" s="32">
        <f t="shared" si="24"/>
        <v>0.22934897724000369</v>
      </c>
    </row>
    <row r="72" spans="1:27" x14ac:dyDescent="0.3">
      <c r="B72" t="s">
        <v>51</v>
      </c>
      <c r="D72" s="35">
        <v>144739</v>
      </c>
      <c r="E72" s="35">
        <v>210300</v>
      </c>
      <c r="F72" s="35">
        <v>292149</v>
      </c>
      <c r="G72" s="35">
        <v>431672</v>
      </c>
      <c r="H72" s="35">
        <v>545207</v>
      </c>
      <c r="I72" s="35">
        <v>646893</v>
      </c>
      <c r="J72" s="35"/>
      <c r="K72" s="35"/>
      <c r="L72" s="35"/>
      <c r="M72" s="35"/>
      <c r="N72" s="35"/>
      <c r="O72" s="35"/>
      <c r="P72" s="35"/>
      <c r="Q72" s="35">
        <v>475921</v>
      </c>
      <c r="R72" s="35">
        <v>646893</v>
      </c>
      <c r="S72" s="35">
        <v>543330</v>
      </c>
      <c r="T72" s="32">
        <f t="shared" si="23"/>
        <v>0.14163905354039841</v>
      </c>
      <c r="U72" s="32">
        <f t="shared" si="24"/>
        <v>-0.1600929365443744</v>
      </c>
    </row>
    <row r="73" spans="1:27" x14ac:dyDescent="0.3">
      <c r="B73" t="s">
        <v>52</v>
      </c>
      <c r="D73" s="35">
        <v>1049</v>
      </c>
      <c r="E73" s="35">
        <v>792</v>
      </c>
      <c r="F73" s="35">
        <v>564</v>
      </c>
      <c r="G73" s="35">
        <v>1086</v>
      </c>
      <c r="H73" s="35">
        <v>1550</v>
      </c>
      <c r="I73" s="35">
        <v>2050</v>
      </c>
      <c r="J73" s="35"/>
      <c r="K73" s="35"/>
      <c r="L73" s="35"/>
      <c r="M73" s="35"/>
      <c r="N73" s="35"/>
      <c r="O73" s="35"/>
      <c r="P73" s="35"/>
      <c r="Q73" s="35">
        <v>3025</v>
      </c>
      <c r="R73" s="35">
        <v>2050</v>
      </c>
      <c r="S73" s="35">
        <v>3328</v>
      </c>
      <c r="T73" s="32">
        <f t="shared" si="23"/>
        <v>0.10016528925619839</v>
      </c>
      <c r="U73" s="32">
        <f t="shared" si="24"/>
        <v>0.62341463414634157</v>
      </c>
    </row>
    <row r="74" spans="1:27" x14ac:dyDescent="0.3">
      <c r="B74" t="s">
        <v>53</v>
      </c>
      <c r="D74" s="35">
        <v>3581</v>
      </c>
      <c r="E74" s="35">
        <v>3912</v>
      </c>
      <c r="F74" s="35">
        <v>3983</v>
      </c>
      <c r="G74" s="35">
        <v>4123</v>
      </c>
      <c r="H74" s="35">
        <v>4441</v>
      </c>
      <c r="I74" s="35">
        <v>4804</v>
      </c>
      <c r="J74" s="35"/>
      <c r="K74" s="35"/>
      <c r="L74" s="35"/>
      <c r="M74" s="35"/>
      <c r="N74" s="35"/>
      <c r="O74" s="35"/>
      <c r="P74" s="35"/>
      <c r="Q74" s="35">
        <v>4441</v>
      </c>
      <c r="R74" s="35">
        <v>4804</v>
      </c>
      <c r="S74" s="35">
        <v>4806</v>
      </c>
      <c r="T74" s="32">
        <f t="shared" si="23"/>
        <v>8.218869623958569E-2</v>
      </c>
      <c r="U74" s="32">
        <f t="shared" si="24"/>
        <v>4.1631973355538143E-4</v>
      </c>
    </row>
    <row r="75" spans="1:27" s="27" customFormat="1" x14ac:dyDescent="0.3">
      <c r="B75" s="27" t="s">
        <v>54</v>
      </c>
      <c r="D75" s="34">
        <f>D69+D70+D71+D72+D73+D74</f>
        <v>969102</v>
      </c>
      <c r="E75" s="34">
        <f t="shared" ref="E75:S75" si="25">E69+E70+E71+E72+E73+E74</f>
        <v>1131145</v>
      </c>
      <c r="F75" s="34">
        <f t="shared" si="25"/>
        <v>1354566</v>
      </c>
      <c r="G75" s="34">
        <f t="shared" si="25"/>
        <v>1690030</v>
      </c>
      <c r="H75" s="34">
        <f t="shared" si="25"/>
        <v>2092577</v>
      </c>
      <c r="I75" s="34">
        <f t="shared" si="25"/>
        <v>2559380</v>
      </c>
      <c r="J75" s="34"/>
      <c r="K75" s="34"/>
      <c r="L75" s="34"/>
      <c r="M75" s="34"/>
      <c r="N75" s="34"/>
      <c r="O75" s="34"/>
      <c r="P75" s="34"/>
      <c r="Q75" s="34">
        <f t="shared" si="25"/>
        <v>2389383</v>
      </c>
      <c r="R75" s="34">
        <f t="shared" si="25"/>
        <v>2559380</v>
      </c>
      <c r="S75" s="34">
        <f t="shared" si="25"/>
        <v>2889565</v>
      </c>
      <c r="T75" s="47">
        <f t="shared" si="23"/>
        <v>0.20933521331657579</v>
      </c>
      <c r="U75" s="47">
        <f t="shared" si="24"/>
        <v>0.12900976017629273</v>
      </c>
    </row>
    <row r="76" spans="1:27" s="28" customFormat="1" x14ac:dyDescent="0.3">
      <c r="B76" s="28" t="s">
        <v>174</v>
      </c>
      <c r="D76" s="38">
        <f>D66+D75</f>
        <v>6417427</v>
      </c>
      <c r="E76" s="38">
        <f t="shared" ref="E76:I76" si="26">E66+E75</f>
        <v>7058632</v>
      </c>
      <c r="F76" s="38">
        <f t="shared" si="26"/>
        <v>8681421</v>
      </c>
      <c r="G76" s="38">
        <f t="shared" si="26"/>
        <v>10234552</v>
      </c>
      <c r="H76" s="38">
        <f t="shared" si="26"/>
        <v>12179562</v>
      </c>
      <c r="I76" s="38">
        <f t="shared" si="26"/>
        <v>13735690</v>
      </c>
      <c r="J76" s="38"/>
      <c r="K76" s="38"/>
      <c r="L76" s="38"/>
      <c r="M76" s="38"/>
      <c r="N76" s="38"/>
      <c r="O76" s="38"/>
      <c r="P76" s="38"/>
      <c r="Q76" s="38">
        <f t="shared" ref="Q76" si="27">Q66+Q75</f>
        <v>13393890</v>
      </c>
      <c r="R76" s="38">
        <f t="shared" ref="R76" si="28">R66+R75</f>
        <v>13735690</v>
      </c>
      <c r="S76" s="38">
        <f t="shared" ref="S76" si="29">S66+S75</f>
        <v>15471399</v>
      </c>
      <c r="T76" s="130">
        <f t="shared" ref="T76" si="30">S76/Q76-1</f>
        <v>0.15510871001628357</v>
      </c>
      <c r="U76" s="130">
        <f t="shared" ref="U76" si="31">S76/R76-1</f>
        <v>0.12636489320885946</v>
      </c>
    </row>
    <row r="77" spans="1:27" x14ac:dyDescent="0.3">
      <c r="A77" s="5"/>
      <c r="B77" s="18" t="s">
        <v>17</v>
      </c>
      <c r="C77" s="18"/>
      <c r="D77" s="129">
        <v>43830</v>
      </c>
      <c r="E77" s="129">
        <f>EOMONTH(D77,12)</f>
        <v>44196</v>
      </c>
      <c r="F77" s="129">
        <f t="shared" ref="F77:I77" si="32">EOMONTH(E77,12)</f>
        <v>44561</v>
      </c>
      <c r="G77" s="129">
        <f>EOMONTH(F77,12)</f>
        <v>44926</v>
      </c>
      <c r="H77" s="129">
        <f t="shared" si="32"/>
        <v>45291</v>
      </c>
      <c r="I77" s="129">
        <f t="shared" si="32"/>
        <v>45657</v>
      </c>
      <c r="J77" s="20">
        <v>46022</v>
      </c>
      <c r="K77" s="20">
        <v>46387</v>
      </c>
      <c r="L77" s="20">
        <v>46752</v>
      </c>
      <c r="M77" s="20">
        <v>47118</v>
      </c>
      <c r="N77" s="20">
        <v>47483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3">
      <c r="A78" s="5"/>
      <c r="B78" s="21" t="s">
        <v>18</v>
      </c>
      <c r="C78" s="21"/>
      <c r="D78" s="22">
        <v>2019</v>
      </c>
      <c r="E78" s="22">
        <v>2020</v>
      </c>
      <c r="F78" s="22">
        <v>2021</v>
      </c>
      <c r="G78" s="22">
        <v>2022</v>
      </c>
      <c r="H78" s="22">
        <v>2023</v>
      </c>
      <c r="I78" s="22">
        <v>2024</v>
      </c>
      <c r="J78" s="22">
        <v>2025</v>
      </c>
      <c r="K78" s="22">
        <v>2026</v>
      </c>
      <c r="L78" s="22">
        <v>2027</v>
      </c>
      <c r="M78" s="22">
        <v>2028</v>
      </c>
      <c r="N78" s="22">
        <v>2029</v>
      </c>
      <c r="P78" s="5"/>
      <c r="Q78" s="23" t="s">
        <v>20</v>
      </c>
      <c r="R78" s="23" t="s">
        <v>19</v>
      </c>
      <c r="S78" s="23" t="s">
        <v>21</v>
      </c>
      <c r="T78" s="23" t="s">
        <v>77</v>
      </c>
      <c r="U78" s="23" t="s">
        <v>78</v>
      </c>
      <c r="W78" s="5"/>
      <c r="X78" s="24"/>
      <c r="Y78" s="24"/>
      <c r="Z78" s="5"/>
      <c r="AA78" s="5"/>
    </row>
    <row r="79" spans="1:27" ht="18.600000000000001" thickBot="1" x14ac:dyDescent="0.4">
      <c r="A79" s="5"/>
      <c r="B79" s="25" t="s">
        <v>91</v>
      </c>
      <c r="C79" s="25" t="s">
        <v>83</v>
      </c>
      <c r="D79" s="25"/>
      <c r="E79" s="25"/>
      <c r="F79" s="25"/>
      <c r="G79" s="26"/>
      <c r="H79" s="25"/>
      <c r="I79" s="26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5" thickTop="1" x14ac:dyDescent="0.3">
      <c r="B80" t="s">
        <v>55</v>
      </c>
      <c r="D80">
        <v>652654</v>
      </c>
      <c r="E80">
        <v>624881</v>
      </c>
      <c r="F80">
        <v>1233761</v>
      </c>
      <c r="G80">
        <v>1952430</v>
      </c>
      <c r="H80">
        <v>2415986</v>
      </c>
      <c r="I80">
        <v>2469325</v>
      </c>
      <c r="Q80">
        <v>2485025</v>
      </c>
      <c r="R80">
        <v>2469325</v>
      </c>
      <c r="S80">
        <v>3952539</v>
      </c>
      <c r="T80" s="32">
        <f>S80/Q80-1</f>
        <v>0.5905429522841823</v>
      </c>
      <c r="U80" s="32">
        <f>S80/R80-1</f>
        <v>0.60065564476122013</v>
      </c>
    </row>
    <row r="81" spans="2:21" x14ac:dyDescent="0.3">
      <c r="B81" t="s">
        <v>56</v>
      </c>
      <c r="D81">
        <v>178533</v>
      </c>
      <c r="E81">
        <v>231267</v>
      </c>
      <c r="F81">
        <v>194548</v>
      </c>
      <c r="G81">
        <v>195093</v>
      </c>
      <c r="H81">
        <v>253151</v>
      </c>
      <c r="I81">
        <v>257893</v>
      </c>
      <c r="Q81">
        <v>260516</v>
      </c>
      <c r="R81">
        <v>257893</v>
      </c>
      <c r="S81">
        <v>267181</v>
      </c>
      <c r="T81" s="32">
        <f t="shared" ref="T81:T83" si="33">S81/Q81-1</f>
        <v>2.5583841299574583E-2</v>
      </c>
      <c r="U81" s="32">
        <f t="shared" ref="U81:U83" si="34">S81/R81-1</f>
        <v>3.6014936427122946E-2</v>
      </c>
    </row>
    <row r="82" spans="2:21" x14ac:dyDescent="0.3">
      <c r="B82" t="s">
        <v>57</v>
      </c>
      <c r="D82">
        <v>173110</v>
      </c>
      <c r="E82">
        <v>204809</v>
      </c>
      <c r="F82">
        <v>209986</v>
      </c>
      <c r="G82">
        <v>228073</v>
      </c>
      <c r="H82">
        <v>242701</v>
      </c>
      <c r="I82">
        <v>240544</v>
      </c>
      <c r="Q82">
        <v>263782</v>
      </c>
      <c r="R82">
        <v>240544</v>
      </c>
      <c r="S82">
        <v>271212</v>
      </c>
      <c r="T82" s="32">
        <f t="shared" si="33"/>
        <v>2.8167198671630311E-2</v>
      </c>
      <c r="U82" s="32">
        <f t="shared" si="34"/>
        <v>0.12749434614872945</v>
      </c>
    </row>
    <row r="83" spans="2:21" x14ac:dyDescent="0.3">
      <c r="B83" t="s">
        <v>58</v>
      </c>
      <c r="D83">
        <v>196</v>
      </c>
      <c r="E83">
        <v>10055</v>
      </c>
      <c r="F83">
        <v>4809</v>
      </c>
      <c r="G83">
        <v>3344</v>
      </c>
      <c r="H83">
        <v>10057</v>
      </c>
      <c r="I83">
        <v>4523</v>
      </c>
      <c r="Q83">
        <v>3625</v>
      </c>
      <c r="R83">
        <v>4523</v>
      </c>
      <c r="S83">
        <v>538</v>
      </c>
      <c r="T83" s="32">
        <f t="shared" si="33"/>
        <v>-0.85158620689655173</v>
      </c>
      <c r="U83" s="32">
        <f t="shared" si="34"/>
        <v>-0.88105239885032061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03"/>
  <sheetViews>
    <sheetView showGridLines="0" tabSelected="1" zoomScale="80" zoomScaleNormal="80" workbookViewId="0">
      <pane xSplit="3" ySplit="9" topLeftCell="G112" activePane="bottomRight" state="frozen"/>
      <selection pane="topRight" activeCell="D1" sqref="D1"/>
      <selection pane="bottomLeft" activeCell="A10" sqref="A10"/>
      <selection pane="bottomRight" activeCell="X6" sqref="X6"/>
    </sheetView>
  </sheetViews>
  <sheetFormatPr defaultRowHeight="14.4" outlineLevelRow="1" outlineLevelCol="1" x14ac:dyDescent="0.3"/>
  <cols>
    <col min="1" max="1" width="4.21875" customWidth="1"/>
    <col min="2" max="2" width="44.109375" bestFit="1" customWidth="1"/>
    <col min="3" max="3" width="19.33203125" customWidth="1"/>
    <col min="4" max="4" width="15.44140625" customWidth="1"/>
    <col min="5" max="5" width="15.21875" customWidth="1"/>
    <col min="6" max="6" width="12" customWidth="1"/>
    <col min="7" max="7" width="11.109375" customWidth="1"/>
    <col min="8" max="8" width="11" customWidth="1"/>
    <col min="9" max="9" width="13.5546875" customWidth="1"/>
    <col min="10" max="10" width="12.77734375" customWidth="1" outlineLevel="1"/>
    <col min="11" max="11" width="12.44140625" customWidth="1" outlineLevel="1"/>
    <col min="12" max="12" width="12.5546875" customWidth="1" outlineLevel="1"/>
    <col min="13" max="13" width="12.33203125" customWidth="1" outlineLevel="1"/>
    <col min="14" max="14" width="13.33203125" customWidth="1" outlineLevel="1"/>
    <col min="15" max="15" width="10" customWidth="1"/>
    <col min="16" max="18" width="10" customWidth="1" outlineLevel="1"/>
    <col min="20" max="22" width="11.5546875" customWidth="1" outlineLevel="1"/>
    <col min="23" max="23" width="12" customWidth="1"/>
    <col min="24" max="24" width="14.5546875" customWidth="1"/>
    <col min="25" max="25" width="12.6640625" customWidth="1"/>
  </cols>
  <sheetData>
    <row r="1" spans="1:37" x14ac:dyDescent="0.3">
      <c r="A1" s="1"/>
      <c r="B1" s="2" t="s">
        <v>71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x14ac:dyDescent="0.3">
      <c r="A2" s="142"/>
      <c r="B2" s="142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3">
      <c r="A3" s="5"/>
      <c r="B3" s="7" t="s">
        <v>59</v>
      </c>
      <c r="C3" s="15" t="s">
        <v>72</v>
      </c>
      <c r="D3" s="7" t="s">
        <v>60</v>
      </c>
      <c r="E3" s="15" t="s">
        <v>73</v>
      </c>
      <c r="F3" s="5"/>
      <c r="G3" s="5"/>
      <c r="H3" s="9" t="s">
        <v>61</v>
      </c>
      <c r="I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3">
      <c r="A4" s="5"/>
      <c r="B4" s="7" t="s">
        <v>62</v>
      </c>
      <c r="C4" s="8">
        <v>9060</v>
      </c>
      <c r="D4" s="7" t="s">
        <v>63</v>
      </c>
      <c r="E4" s="13">
        <v>46031</v>
      </c>
      <c r="F4" s="5"/>
      <c r="G4" s="5"/>
      <c r="H4" s="10" t="s">
        <v>64</v>
      </c>
      <c r="I4" s="10" t="s">
        <v>65</v>
      </c>
      <c r="K4" s="16"/>
      <c r="L4" s="16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3">
      <c r="A5" s="5"/>
      <c r="B5" s="7" t="s">
        <v>66</v>
      </c>
      <c r="C5" s="13">
        <v>45657</v>
      </c>
      <c r="D5" s="7" t="s">
        <v>67</v>
      </c>
      <c r="E5" s="8" t="s">
        <v>104</v>
      </c>
      <c r="F5" s="5"/>
      <c r="G5" s="5"/>
      <c r="H5" s="11" t="s">
        <v>68</v>
      </c>
      <c r="I5" s="11" t="s">
        <v>69</v>
      </c>
      <c r="K5" s="17"/>
      <c r="L5" s="17"/>
      <c r="M5" s="1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3">
      <c r="A6" s="5"/>
      <c r="B6" s="5" t="s">
        <v>70</v>
      </c>
      <c r="C6" s="14">
        <v>500</v>
      </c>
      <c r="D6" s="5"/>
      <c r="E6" s="5"/>
      <c r="F6" s="5"/>
      <c r="G6" s="5"/>
      <c r="H6" s="5"/>
      <c r="I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8" spans="1:37" x14ac:dyDescent="0.3">
      <c r="A8" s="5"/>
      <c r="B8" s="18" t="s">
        <v>17</v>
      </c>
      <c r="C8" s="18"/>
      <c r="D8" s="19">
        <v>43830</v>
      </c>
      <c r="E8" s="19">
        <f>EOMONTH(D8,12)</f>
        <v>44196</v>
      </c>
      <c r="F8" s="19">
        <f t="shared" ref="F8:I8" si="0">EOMONTH(E8,12)</f>
        <v>44561</v>
      </c>
      <c r="G8" s="19">
        <f t="shared" si="0"/>
        <v>44926</v>
      </c>
      <c r="H8" s="19">
        <f t="shared" ref="H8" si="1">EOMONTH(G8,12)</f>
        <v>45291</v>
      </c>
      <c r="I8" s="19">
        <f t="shared" si="0"/>
        <v>45657</v>
      </c>
      <c r="J8" s="20">
        <v>46022</v>
      </c>
      <c r="K8" s="20">
        <v>46387</v>
      </c>
      <c r="L8" s="20">
        <v>46752</v>
      </c>
      <c r="M8" s="20">
        <v>47118</v>
      </c>
      <c r="N8" s="20">
        <v>47483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7" x14ac:dyDescent="0.3">
      <c r="A9" s="5"/>
      <c r="B9" s="21" t="s">
        <v>18</v>
      </c>
      <c r="C9" s="21"/>
      <c r="D9" s="22">
        <v>2019</v>
      </c>
      <c r="E9" s="22">
        <v>2020</v>
      </c>
      <c r="F9" s="22">
        <v>2021</v>
      </c>
      <c r="G9" s="22">
        <v>2022</v>
      </c>
      <c r="H9" s="22">
        <v>2023</v>
      </c>
      <c r="I9" s="22">
        <v>2024</v>
      </c>
      <c r="J9" s="22">
        <v>2025</v>
      </c>
      <c r="K9" s="22">
        <v>2026</v>
      </c>
      <c r="L9" s="22">
        <v>2027</v>
      </c>
      <c r="M9" s="22">
        <v>2028</v>
      </c>
      <c r="N9" s="22">
        <v>2029</v>
      </c>
      <c r="P9" s="15" t="s">
        <v>185</v>
      </c>
      <c r="Q9" s="15" t="s">
        <v>69</v>
      </c>
      <c r="R9" s="15" t="s">
        <v>186</v>
      </c>
      <c r="S9" s="5"/>
      <c r="T9" s="23" t="s">
        <v>20</v>
      </c>
      <c r="U9" s="23" t="s">
        <v>19</v>
      </c>
      <c r="V9" s="23" t="s">
        <v>21</v>
      </c>
      <c r="W9" s="23" t="s">
        <v>77</v>
      </c>
      <c r="X9" s="23" t="s">
        <v>78</v>
      </c>
      <c r="Z9" s="5"/>
      <c r="AA9" s="24"/>
      <c r="AB9" s="24"/>
      <c r="AC9" s="5"/>
      <c r="AD9" s="5"/>
    </row>
    <row r="10" spans="1:37" ht="18.600000000000001" thickBot="1" x14ac:dyDescent="0.4">
      <c r="A10" s="5"/>
      <c r="B10" s="25" t="s">
        <v>79</v>
      </c>
      <c r="C10" s="25" t="s">
        <v>165</v>
      </c>
      <c r="D10" s="25"/>
      <c r="E10" s="25"/>
      <c r="F10" s="25"/>
      <c r="G10" s="26"/>
      <c r="H10" s="25"/>
      <c r="I10" s="26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7" s="12" customFormat="1" ht="15" thickTop="1" x14ac:dyDescent="0.3">
      <c r="B11" s="12" t="s">
        <v>0</v>
      </c>
      <c r="D11" s="33">
        <v>653195</v>
      </c>
      <c r="E11" s="33">
        <v>712648</v>
      </c>
      <c r="F11" s="33">
        <v>815446</v>
      </c>
      <c r="G11" s="33">
        <v>953656</v>
      </c>
      <c r="H11" s="33">
        <v>1179592</v>
      </c>
      <c r="I11" s="33">
        <v>1366006</v>
      </c>
      <c r="J11" s="41">
        <f>J13*(J110+J114+J124)</f>
        <v>1486653.5435061418</v>
      </c>
      <c r="K11" s="41">
        <f>K13*(K110+K114+K124)</f>
        <v>1716073.8175902828</v>
      </c>
      <c r="L11" s="41">
        <f>L13*(L110+L114+L124)</f>
        <v>1937927.1863185794</v>
      </c>
      <c r="M11" s="41">
        <f>M13*(M110+M114+M124)</f>
        <v>2171812.1070936797</v>
      </c>
      <c r="N11" s="41">
        <f>N13*(N110+N114+N124)</f>
        <v>2464662.0936383544</v>
      </c>
      <c r="O11" s="33"/>
      <c r="P11" s="33">
        <v>1548329</v>
      </c>
      <c r="Q11" s="41">
        <v>1486653.5435061418</v>
      </c>
      <c r="R11" s="148">
        <f>Q11/P11-1</f>
        <v>-3.9833560240658317E-2</v>
      </c>
      <c r="S11" s="33"/>
      <c r="T11" s="33">
        <v>344972</v>
      </c>
      <c r="U11" s="33">
        <v>1366006</v>
      </c>
      <c r="V11" s="33">
        <v>398357</v>
      </c>
      <c r="W11" s="32">
        <f>V11/T11-1</f>
        <v>0.15475168999223121</v>
      </c>
      <c r="X11" s="32">
        <f>V11/U11-1</f>
        <v>-0.70837829409241249</v>
      </c>
    </row>
    <row r="12" spans="1:37" s="39" customFormat="1" x14ac:dyDescent="0.3">
      <c r="B12" s="39" t="s">
        <v>95</v>
      </c>
      <c r="E12" s="39">
        <f>E11/D11-1</f>
        <v>9.1018761625548228E-2</v>
      </c>
      <c r="F12" s="39">
        <f t="shared" ref="F12:I12" si="2">F11/E11-1</f>
        <v>0.14424793165770478</v>
      </c>
      <c r="G12" s="39">
        <f t="shared" si="2"/>
        <v>0.16949007046450659</v>
      </c>
      <c r="H12" s="39">
        <f t="shared" si="2"/>
        <v>0.23691561737146305</v>
      </c>
      <c r="I12" s="39">
        <f t="shared" si="2"/>
        <v>0.15803260788476026</v>
      </c>
      <c r="J12" s="39">
        <f t="shared" ref="J12" si="3">J11/I11-1</f>
        <v>8.8321386220954867E-2</v>
      </c>
      <c r="K12" s="39">
        <f t="shared" ref="K12" si="4">K11/J11-1</f>
        <v>0.15431993223052731</v>
      </c>
      <c r="L12" s="39">
        <f t="shared" ref="L12" si="5">L11/K11-1</f>
        <v>0.12927961865872639</v>
      </c>
      <c r="M12" s="39">
        <f t="shared" ref="M12" si="6">M11/L11-1</f>
        <v>0.12068818809410709</v>
      </c>
      <c r="N12" s="39">
        <f t="shared" ref="N12" si="7">N11/M11-1</f>
        <v>0.13484130859578225</v>
      </c>
      <c r="Q12" s="39">
        <v>8.8321386220954867E-2</v>
      </c>
      <c r="R12" s="148"/>
      <c r="W12" s="40"/>
      <c r="X12" s="40"/>
    </row>
    <row r="13" spans="1:37" s="39" customFormat="1" x14ac:dyDescent="0.3">
      <c r="B13" s="39" t="s">
        <v>173</v>
      </c>
      <c r="D13" s="39">
        <f t="shared" ref="D13:I13" si="8">D11/(D110+D114+D124)</f>
        <v>0.14151021060745433</v>
      </c>
      <c r="E13" s="39">
        <f t="shared" si="8"/>
        <v>0.12762382626133759</v>
      </c>
      <c r="F13" s="39">
        <f t="shared" si="8"/>
        <v>0.12115739945572879</v>
      </c>
      <c r="G13" s="39">
        <f t="shared" si="8"/>
        <v>0.11707655787632452</v>
      </c>
      <c r="H13" s="39">
        <f t="shared" si="8"/>
        <v>0.11562965558087436</v>
      </c>
      <c r="I13" s="39">
        <f t="shared" si="8"/>
        <v>0.12487926942840011</v>
      </c>
      <c r="J13" s="42">
        <f>AVERAGE(G13:I13)</f>
        <v>0.11919516096186633</v>
      </c>
      <c r="K13" s="42">
        <f t="shared" ref="K13:N13" si="9">AVERAGE(H13:J13)</f>
        <v>0.11990136199038026</v>
      </c>
      <c r="L13" s="42">
        <f t="shared" si="9"/>
        <v>0.12132526412688223</v>
      </c>
      <c r="M13" s="42">
        <f t="shared" si="9"/>
        <v>0.12014059569304293</v>
      </c>
      <c r="N13" s="42">
        <f t="shared" si="9"/>
        <v>0.12045574060343513</v>
      </c>
      <c r="Q13" s="42">
        <v>0.11919516096186633</v>
      </c>
      <c r="R13" s="148"/>
      <c r="W13" s="40"/>
      <c r="X13" s="40"/>
    </row>
    <row r="14" spans="1:37" s="12" customFormat="1" x14ac:dyDescent="0.3">
      <c r="B14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148"/>
      <c r="S14" s="33"/>
      <c r="T14" s="33"/>
      <c r="U14" s="33"/>
      <c r="V14" s="33"/>
      <c r="W14" s="32"/>
      <c r="X14" s="32"/>
    </row>
    <row r="15" spans="1:37" s="12" customFormat="1" x14ac:dyDescent="0.3">
      <c r="B15" s="12" t="s">
        <v>1</v>
      </c>
      <c r="D15" s="33">
        <v>-130820</v>
      </c>
      <c r="E15" s="33">
        <v>-141483</v>
      </c>
      <c r="F15" s="33">
        <v>-135606</v>
      </c>
      <c r="G15" s="33">
        <v>-164020</v>
      </c>
      <c r="H15" s="33">
        <v>-242354</v>
      </c>
      <c r="I15" s="33">
        <v>-307599</v>
      </c>
      <c r="J15" s="41">
        <f>-1*(J17*J138)</f>
        <v>-297964.97915172687</v>
      </c>
      <c r="K15" s="41">
        <f>-1*(K17*K138)</f>
        <v>-359647.67609788448</v>
      </c>
      <c r="L15" s="41">
        <f>-1*(L17*L138)</f>
        <v>-410156.14256277063</v>
      </c>
      <c r="M15" s="41">
        <f>-1*(M17*M138)</f>
        <v>-450786.05361095106</v>
      </c>
      <c r="N15" s="41">
        <f>-1*(N17*N138)</f>
        <v>-517230.62673815567</v>
      </c>
      <c r="O15" s="33"/>
      <c r="P15" s="33">
        <f>-354848</f>
        <v>-354848</v>
      </c>
      <c r="Q15" s="41">
        <v>-297964.97915172687</v>
      </c>
      <c r="R15" s="148">
        <f t="shared" ref="R12:R75" si="10">Q15/P15-1</f>
        <v>-0.16030249810700115</v>
      </c>
      <c r="S15" s="33"/>
      <c r="T15" s="33">
        <v>-79815</v>
      </c>
      <c r="U15" s="33">
        <v>-307599</v>
      </c>
      <c r="V15" s="33">
        <v>-86329</v>
      </c>
      <c r="W15" s="32">
        <f t="shared" ref="W15:W89" si="11">V15/T15-1</f>
        <v>8.1613731754682783E-2</v>
      </c>
      <c r="X15" s="32">
        <f t="shared" ref="X15:X89" si="12">V15/U15-1</f>
        <v>-0.71934564156580483</v>
      </c>
    </row>
    <row r="16" spans="1:37" s="39" customFormat="1" x14ac:dyDescent="0.3">
      <c r="B16" s="39" t="s">
        <v>95</v>
      </c>
      <c r="E16" s="39">
        <f>E15/D15-1</f>
        <v>8.1508943586607652E-2</v>
      </c>
      <c r="F16" s="39">
        <f t="shared" ref="F16:I16" si="13">F15/E15-1</f>
        <v>-4.1538559402896413E-2</v>
      </c>
      <c r="G16" s="39">
        <f t="shared" si="13"/>
        <v>0.20953350146748662</v>
      </c>
      <c r="H16" s="39">
        <f t="shared" si="13"/>
        <v>0.47758809901231558</v>
      </c>
      <c r="I16" s="39">
        <f t="shared" si="13"/>
        <v>0.26921362964919093</v>
      </c>
      <c r="J16" s="39">
        <f t="shared" ref="J16" si="14">J15/I15-1</f>
        <v>-3.1320065566770805E-2</v>
      </c>
      <c r="K16" s="39">
        <f t="shared" ref="K16" si="15">K15/J15-1</f>
        <v>0.20701324404552968</v>
      </c>
      <c r="L16" s="39">
        <f t="shared" ref="L16" si="16">L15/K15-1</f>
        <v>0.14043873997155876</v>
      </c>
      <c r="M16" s="39">
        <f t="shared" ref="M16" si="17">M15/L15-1</f>
        <v>9.9059618598696053E-2</v>
      </c>
      <c r="N16" s="39">
        <f t="shared" ref="N16" si="18">N15/M15-1</f>
        <v>0.14739713572538626</v>
      </c>
      <c r="Q16" s="39">
        <v>-3.1320065566770805E-2</v>
      </c>
      <c r="R16" s="148"/>
      <c r="W16" s="40"/>
      <c r="X16" s="40"/>
    </row>
    <row r="17" spans="1:24" s="39" customFormat="1" x14ac:dyDescent="0.3">
      <c r="B17" s="39" t="s">
        <v>172</v>
      </c>
      <c r="D17" s="39">
        <f t="shared" ref="D17:I17" si="19">(D15/D138)*-1</f>
        <v>2.6795719812876487E-2</v>
      </c>
      <c r="E17" s="39">
        <f t="shared" si="19"/>
        <v>2.6959551811718545E-2</v>
      </c>
      <c r="F17" s="39">
        <f t="shared" si="19"/>
        <v>2.084135725946434E-2</v>
      </c>
      <c r="G17" s="39">
        <f t="shared" si="19"/>
        <v>2.2062299025530231E-2</v>
      </c>
      <c r="H17" s="39">
        <f t="shared" si="19"/>
        <v>2.9052157681984159E-2</v>
      </c>
      <c r="I17" s="39">
        <f t="shared" si="19"/>
        <v>3.2607800349718732E-2</v>
      </c>
      <c r="J17" s="42">
        <f>AVERAGE(G17:I17)</f>
        <v>2.7907419019077711E-2</v>
      </c>
      <c r="K17" s="42">
        <f t="shared" ref="K17:N17" si="20">AVERAGE(H17:J17)</f>
        <v>2.9855792350260202E-2</v>
      </c>
      <c r="L17" s="42">
        <f t="shared" si="20"/>
        <v>3.0123670573018884E-2</v>
      </c>
      <c r="M17" s="42">
        <f t="shared" si="20"/>
        <v>2.9295627314118933E-2</v>
      </c>
      <c r="N17" s="42">
        <f t="shared" si="20"/>
        <v>2.9758363412466005E-2</v>
      </c>
      <c r="Q17" s="42">
        <v>2.7907419019077711E-2</v>
      </c>
      <c r="R17" s="148"/>
      <c r="W17" s="40"/>
      <c r="X17" s="40"/>
    </row>
    <row r="18" spans="1:24" s="39" customFormat="1" x14ac:dyDescent="0.3">
      <c r="B18" s="39" t="s">
        <v>183</v>
      </c>
      <c r="D18" s="39">
        <f>(D11-D15)/(D110+D114+D124+D106)</f>
        <v>0.14362418812210387</v>
      </c>
      <c r="E18" s="39">
        <f t="shared" ref="E18:N18" si="21">(E11-E15)/(E110+E114+E124+E106)</f>
        <v>0.14307598347139555</v>
      </c>
      <c r="F18" s="39">
        <f t="shared" si="21"/>
        <v>0.12303002635234106</v>
      </c>
      <c r="G18" s="39">
        <f t="shared" si="21"/>
        <v>0.1211963224145142</v>
      </c>
      <c r="H18" s="39">
        <f t="shared" si="21"/>
        <v>0.12934669614888789</v>
      </c>
      <c r="I18" s="39">
        <f t="shared" si="21"/>
        <v>0.14200584007454606</v>
      </c>
      <c r="J18" s="39">
        <f>(J11-J15)/(J110+J114+J124+J106)</f>
        <v>0.12888214954503699</v>
      </c>
      <c r="K18" s="39">
        <f t="shared" si="21"/>
        <v>0.13214270929598371</v>
      </c>
      <c r="L18" s="39">
        <f t="shared" si="21"/>
        <v>0.13374847804030285</v>
      </c>
      <c r="M18" s="39">
        <f t="shared" si="21"/>
        <v>0.13167287326368896</v>
      </c>
      <c r="N18" s="39">
        <f t="shared" si="21"/>
        <v>0.13259626133622182</v>
      </c>
      <c r="Q18" s="39">
        <v>0.12888214954503699</v>
      </c>
      <c r="R18" s="148"/>
      <c r="W18" s="40"/>
      <c r="X18" s="40"/>
    </row>
    <row r="19" spans="1:24" s="27" customFormat="1" x14ac:dyDescent="0.3">
      <c r="B19" s="27" t="s">
        <v>80</v>
      </c>
      <c r="D19" s="34">
        <f>D11+D15</f>
        <v>522375</v>
      </c>
      <c r="E19" s="34">
        <f t="shared" ref="E19:V19" si="22">E11+E15</f>
        <v>571165</v>
      </c>
      <c r="F19" s="34">
        <f t="shared" si="22"/>
        <v>679840</v>
      </c>
      <c r="G19" s="34">
        <f t="shared" si="22"/>
        <v>789636</v>
      </c>
      <c r="H19" s="34">
        <f t="shared" si="22"/>
        <v>937238</v>
      </c>
      <c r="I19" s="34">
        <f t="shared" si="22"/>
        <v>1058407</v>
      </c>
      <c r="J19" s="43">
        <f t="shared" si="22"/>
        <v>1188688.5643544148</v>
      </c>
      <c r="K19" s="43">
        <f t="shared" si="22"/>
        <v>1356426.1414923982</v>
      </c>
      <c r="L19" s="43">
        <f t="shared" si="22"/>
        <v>1527771.0437558088</v>
      </c>
      <c r="M19" s="43">
        <f t="shared" si="22"/>
        <v>1721026.0534827285</v>
      </c>
      <c r="N19" s="43">
        <f t="shared" si="22"/>
        <v>1947431.4669001987</v>
      </c>
      <c r="O19" s="43">
        <f t="shared" si="22"/>
        <v>0</v>
      </c>
      <c r="P19" s="43">
        <f t="shared" si="22"/>
        <v>1193481</v>
      </c>
      <c r="Q19" s="43">
        <v>1188688.5643544148</v>
      </c>
      <c r="R19" s="148">
        <f>Q19/P19-1</f>
        <v>-4.0155106328338963E-3</v>
      </c>
      <c r="S19" s="34"/>
      <c r="T19" s="34">
        <f t="shared" si="22"/>
        <v>265157</v>
      </c>
      <c r="U19" s="34">
        <f t="shared" si="22"/>
        <v>1058407</v>
      </c>
      <c r="V19" s="34">
        <f t="shared" si="22"/>
        <v>312028</v>
      </c>
      <c r="W19" s="32">
        <f t="shared" si="11"/>
        <v>0.17676697202035019</v>
      </c>
      <c r="X19" s="32">
        <f t="shared" si="12"/>
        <v>-0.70519091427021929</v>
      </c>
    </row>
    <row r="20" spans="1:24" s="45" customFormat="1" x14ac:dyDescent="0.3">
      <c r="B20" s="45" t="s">
        <v>95</v>
      </c>
      <c r="E20" s="45">
        <f>E19/D19-1</f>
        <v>9.340033500837519E-2</v>
      </c>
      <c r="F20" s="45">
        <f t="shared" ref="F20:I20" si="23">F19/E19-1</f>
        <v>0.19026901158159193</v>
      </c>
      <c r="G20" s="45">
        <f t="shared" si="23"/>
        <v>0.16150270651918097</v>
      </c>
      <c r="H20" s="45">
        <f t="shared" si="23"/>
        <v>0.1869241017380161</v>
      </c>
      <c r="I20" s="45">
        <f t="shared" si="23"/>
        <v>0.12928306364018538</v>
      </c>
      <c r="J20" s="45">
        <f t="shared" ref="J20" si="24">J19/I19-1</f>
        <v>0.12309212274145476</v>
      </c>
      <c r="K20" s="45">
        <f t="shared" ref="K20" si="25">K19/J19-1</f>
        <v>0.14111145860066632</v>
      </c>
      <c r="L20" s="45">
        <f t="shared" ref="L20" si="26">L19/K19-1</f>
        <v>0.12632084934229426</v>
      </c>
      <c r="M20" s="45">
        <f t="shared" ref="M20" si="27">M19/L19-1</f>
        <v>0.12649474573875263</v>
      </c>
      <c r="N20" s="45">
        <f t="shared" ref="N20" si="28">N19/M19-1</f>
        <v>0.13155257757969929</v>
      </c>
      <c r="Q20" s="45">
        <v>0.12309212274145476</v>
      </c>
      <c r="R20" s="148"/>
      <c r="W20" s="40"/>
      <c r="X20" s="40"/>
    </row>
    <row r="21" spans="1:24" s="39" customFormat="1" x14ac:dyDescent="0.3">
      <c r="B21" s="39" t="s">
        <v>166</v>
      </c>
      <c r="D21" s="39">
        <f>D19/D40</f>
        <v>0.71874862407537865</v>
      </c>
      <c r="E21" s="39">
        <f t="shared" ref="E21:N21" si="29">E19/E40</f>
        <v>0.67798571774503702</v>
      </c>
      <c r="F21" s="39">
        <f t="shared" si="29"/>
        <v>0.68971814324759206</v>
      </c>
      <c r="G21" s="39">
        <f t="shared" si="29"/>
        <v>0.66257526632700325</v>
      </c>
      <c r="H21" s="39">
        <f t="shared" si="29"/>
        <v>0.66678002131446812</v>
      </c>
      <c r="I21" s="39">
        <f t="shared" si="29"/>
        <v>0.64649439146613497</v>
      </c>
      <c r="J21" s="39">
        <f t="shared" si="29"/>
        <v>0.63433860597668201</v>
      </c>
      <c r="K21" s="39">
        <f t="shared" si="29"/>
        <v>0.67040656090462014</v>
      </c>
      <c r="L21" s="39">
        <f t="shared" si="29"/>
        <v>0.66432241619942034</v>
      </c>
      <c r="M21" s="39">
        <f t="shared" si="29"/>
        <v>0.66006418638924391</v>
      </c>
      <c r="N21" s="39">
        <f t="shared" si="29"/>
        <v>0.65606709950149789</v>
      </c>
      <c r="Q21" s="39">
        <v>0.63433860597668201</v>
      </c>
      <c r="R21" s="148"/>
      <c r="W21" s="40"/>
      <c r="X21" s="40"/>
    </row>
    <row r="22" spans="1:24" s="39" customFormat="1" x14ac:dyDescent="0.3">
      <c r="R22" s="148"/>
      <c r="W22" s="40"/>
      <c r="X22" s="40"/>
    </row>
    <row r="23" spans="1:24" x14ac:dyDescent="0.3">
      <c r="B23" t="s">
        <v>2</v>
      </c>
      <c r="D23" s="35">
        <v>25554</v>
      </c>
      <c r="E23" s="35">
        <v>30484</v>
      </c>
      <c r="F23" s="35">
        <v>36309</v>
      </c>
      <c r="G23" s="35">
        <v>53424</v>
      </c>
      <c r="H23" s="35">
        <v>73362</v>
      </c>
      <c r="I23" s="35">
        <v>115589</v>
      </c>
      <c r="J23" s="41">
        <f>(1+J24)*I23</f>
        <v>173383.5</v>
      </c>
      <c r="K23" s="41">
        <f>(1+K24)*H23</f>
        <v>86567.159999999989</v>
      </c>
      <c r="L23" s="41">
        <f>(1+L24)*K23</f>
        <v>112876.16728318477</v>
      </c>
      <c r="M23" s="41">
        <f t="shared" ref="M23:N23" si="30">(1+M24)*L23</f>
        <v>145125.54536415765</v>
      </c>
      <c r="N23" s="41">
        <f t="shared" si="30"/>
        <v>182356.06392084912</v>
      </c>
      <c r="O23" s="35"/>
      <c r="P23" s="35">
        <v>106574</v>
      </c>
      <c r="Q23" s="41">
        <v>173383.5</v>
      </c>
      <c r="R23" s="148">
        <f t="shared" si="10"/>
        <v>0.62688366768630255</v>
      </c>
      <c r="S23" s="35"/>
      <c r="T23" s="35">
        <v>27052</v>
      </c>
      <c r="U23" s="35">
        <v>115589</v>
      </c>
      <c r="V23" s="35">
        <v>23481</v>
      </c>
      <c r="W23" s="32">
        <f t="shared" si="11"/>
        <v>-0.13200502735472419</v>
      </c>
      <c r="X23" s="32">
        <f t="shared" si="12"/>
        <v>-0.79685783249271125</v>
      </c>
    </row>
    <row r="24" spans="1:24" s="39" customFormat="1" x14ac:dyDescent="0.3">
      <c r="B24" s="44" t="s">
        <v>95</v>
      </c>
      <c r="E24" s="39">
        <f>E23/D23-1</f>
        <v>0.19292478672614854</v>
      </c>
      <c r="F24" s="39">
        <f t="shared" ref="F24:I24" si="31">F23/E23-1</f>
        <v>0.19108384726413852</v>
      </c>
      <c r="G24" s="39">
        <f t="shared" si="31"/>
        <v>0.47137073452862932</v>
      </c>
      <c r="H24" s="39">
        <f t="shared" si="31"/>
        <v>0.37320305480682836</v>
      </c>
      <c r="I24" s="39">
        <f t="shared" si="31"/>
        <v>0.57559772089092442</v>
      </c>
      <c r="J24" s="42">
        <f>0.5</f>
        <v>0.5</v>
      </c>
      <c r="K24" s="42">
        <f>0.18</f>
        <v>0.18</v>
      </c>
      <c r="L24" s="42">
        <f>AVERAGE(F24,G24,H24,K24)</f>
        <v>0.30391440914989903</v>
      </c>
      <c r="M24" s="42">
        <f>AVERAGE(H24,K24,L24)</f>
        <v>0.28570582131890915</v>
      </c>
      <c r="N24" s="42">
        <f>AVERAGE(K24:M24)</f>
        <v>0.25654007682293606</v>
      </c>
      <c r="Q24" s="42">
        <v>0.5</v>
      </c>
      <c r="R24" s="148"/>
      <c r="W24" s="40"/>
      <c r="X24" s="40"/>
    </row>
    <row r="25" spans="1:24" x14ac:dyDescent="0.3"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148"/>
      <c r="S25" s="35"/>
      <c r="T25" s="35"/>
      <c r="U25" s="35"/>
      <c r="V25" s="35"/>
      <c r="W25" s="32"/>
      <c r="X25" s="32"/>
    </row>
    <row r="26" spans="1:24" x14ac:dyDescent="0.3">
      <c r="B26" t="s">
        <v>3</v>
      </c>
      <c r="D26" s="35">
        <v>169153</v>
      </c>
      <c r="E26" s="35">
        <v>226400</v>
      </c>
      <c r="F26" s="35">
        <v>248541</v>
      </c>
      <c r="G26" s="35">
        <v>324929</v>
      </c>
      <c r="H26" s="35">
        <v>366487</v>
      </c>
      <c r="I26" s="35">
        <v>439366</v>
      </c>
      <c r="J26" s="41">
        <f>J28*J124</f>
        <v>478914.32830131071</v>
      </c>
      <c r="K26" s="41">
        <f>K28*K124</f>
        <v>543864.28796787758</v>
      </c>
      <c r="L26" s="41">
        <f>L28*L124</f>
        <v>619890.33096570475</v>
      </c>
      <c r="M26" s="41">
        <f>M28*M124</f>
        <v>695213.07954111276</v>
      </c>
      <c r="N26" s="41">
        <f>N28*N124</f>
        <v>787130.00824820332</v>
      </c>
      <c r="O26" s="35"/>
      <c r="P26" s="35">
        <v>483909</v>
      </c>
      <c r="Q26" s="41">
        <v>478914.32830131071</v>
      </c>
      <c r="R26" s="148">
        <f t="shared" si="10"/>
        <v>-1.0321510239919673E-2</v>
      </c>
      <c r="S26" s="35"/>
      <c r="T26" s="35">
        <v>116134</v>
      </c>
      <c r="U26" s="35">
        <v>439366</v>
      </c>
      <c r="V26" s="35">
        <v>116680</v>
      </c>
      <c r="W26" s="32">
        <f t="shared" si="11"/>
        <v>4.7014655484181045E-3</v>
      </c>
      <c r="X26" s="32">
        <f t="shared" si="12"/>
        <v>-0.73443552755561425</v>
      </c>
    </row>
    <row r="27" spans="1:24" s="39" customFormat="1" x14ac:dyDescent="0.3">
      <c r="B27" s="39" t="s">
        <v>95</v>
      </c>
      <c r="E27" s="39">
        <f>E26/D26-1</f>
        <v>0.33843325273568903</v>
      </c>
      <c r="F27" s="39">
        <f t="shared" ref="F27:I27" si="32">F26/E26-1</f>
        <v>9.7795936395759675E-2</v>
      </c>
      <c r="G27" s="39">
        <f t="shared" si="32"/>
        <v>0.30734566932618756</v>
      </c>
      <c r="H27" s="39">
        <f t="shared" si="32"/>
        <v>0.1278987101797624</v>
      </c>
      <c r="I27" s="39">
        <f t="shared" si="32"/>
        <v>0.19885834968225335</v>
      </c>
      <c r="J27" s="39">
        <f t="shared" ref="J27" si="33">J26/I26-1</f>
        <v>9.0012263810378412E-2</v>
      </c>
      <c r="K27" s="39">
        <f t="shared" ref="K27" si="34">K26/J26-1</f>
        <v>0.13561916156683318</v>
      </c>
      <c r="L27" s="39">
        <f t="shared" ref="L27" si="35">L26/K26-1</f>
        <v>0.1397886286703891</v>
      </c>
      <c r="M27" s="39">
        <f t="shared" ref="M27" si="36">M26/L26-1</f>
        <v>0.12150979747992752</v>
      </c>
      <c r="N27" s="39">
        <f t="shared" ref="N27" si="37">N26/M26-1</f>
        <v>0.13221403827408129</v>
      </c>
      <c r="Q27" s="39">
        <v>9.0012263810378412E-2</v>
      </c>
      <c r="R27" s="148"/>
      <c r="W27" s="40"/>
      <c r="X27" s="40"/>
    </row>
    <row r="28" spans="1:24" s="39" customFormat="1" x14ac:dyDescent="0.3">
      <c r="B28" s="39" t="s">
        <v>96</v>
      </c>
      <c r="D28" s="39">
        <f t="shared" ref="D28:I28" si="38">D26/D124</f>
        <v>4.7117748549723872E-2</v>
      </c>
      <c r="E28" s="39">
        <f t="shared" si="38"/>
        <v>5.5100025773377782E-2</v>
      </c>
      <c r="F28" s="39">
        <f t="shared" si="38"/>
        <v>5.3404507542330323E-2</v>
      </c>
      <c r="G28" s="39">
        <f t="shared" si="38"/>
        <v>5.4023349504530888E-2</v>
      </c>
      <c r="H28" s="39">
        <f t="shared" si="38"/>
        <v>4.7552947511491292E-2</v>
      </c>
      <c r="I28" s="39">
        <f t="shared" si="38"/>
        <v>5.1698164314280919E-2</v>
      </c>
      <c r="J28" s="42">
        <f>AVERAGE(G28:I28)</f>
        <v>5.109148711010103E-2</v>
      </c>
      <c r="K28" s="42">
        <f t="shared" ref="K28:N28" si="39">AVERAGE(H28:J28)</f>
        <v>5.0114199645291076E-2</v>
      </c>
      <c r="L28" s="42">
        <f t="shared" si="39"/>
        <v>5.0967950356557677E-2</v>
      </c>
      <c r="M28" s="42">
        <f t="shared" si="39"/>
        <v>5.0724545703983263E-2</v>
      </c>
      <c r="N28" s="42">
        <f t="shared" si="39"/>
        <v>5.060223190194401E-2</v>
      </c>
      <c r="Q28" s="42">
        <v>5.109148711010103E-2</v>
      </c>
      <c r="R28" s="148"/>
      <c r="W28" s="40"/>
      <c r="X28" s="40"/>
    </row>
    <row r="29" spans="1:24" x14ac:dyDescent="0.3"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148"/>
      <c r="S29" s="35"/>
      <c r="T29" s="35"/>
      <c r="U29" s="35"/>
      <c r="V29" s="35"/>
      <c r="W29" s="32"/>
      <c r="X29" s="32"/>
    </row>
    <row r="30" spans="1:24" x14ac:dyDescent="0.3">
      <c r="A30" s="12"/>
      <c r="B30" t="s">
        <v>4</v>
      </c>
      <c r="D30" s="35">
        <v>0</v>
      </c>
      <c r="E30" s="35">
        <v>0</v>
      </c>
      <c r="F30" s="35">
        <v>0</v>
      </c>
      <c r="G30" s="35">
        <v>0</v>
      </c>
      <c r="H30" s="35">
        <v>55</v>
      </c>
      <c r="I30" s="35">
        <v>65</v>
      </c>
      <c r="J30" s="35">
        <v>65</v>
      </c>
      <c r="K30" s="35">
        <v>65</v>
      </c>
      <c r="L30" s="35">
        <v>65</v>
      </c>
      <c r="M30" s="35">
        <v>65</v>
      </c>
      <c r="N30" s="35">
        <v>65</v>
      </c>
      <c r="O30" s="35"/>
      <c r="P30" s="35">
        <v>45</v>
      </c>
      <c r="Q30" s="35">
        <v>65</v>
      </c>
      <c r="R30" s="148">
        <f t="shared" si="10"/>
        <v>0.44444444444444442</v>
      </c>
      <c r="S30" s="35"/>
      <c r="T30" s="35">
        <v>65</v>
      </c>
      <c r="U30" s="35">
        <v>65</v>
      </c>
      <c r="V30" s="35">
        <v>45</v>
      </c>
      <c r="W30" s="32">
        <f t="shared" si="11"/>
        <v>-0.30769230769230771</v>
      </c>
      <c r="X30" s="32">
        <f t="shared" si="12"/>
        <v>-0.30769230769230771</v>
      </c>
    </row>
    <row r="31" spans="1:24" x14ac:dyDescent="0.3"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148"/>
      <c r="S31" s="35"/>
      <c r="T31" s="35"/>
      <c r="U31" s="35"/>
      <c r="V31" s="35"/>
      <c r="W31" s="32"/>
      <c r="X31" s="32"/>
    </row>
    <row r="32" spans="1:24" x14ac:dyDescent="0.3">
      <c r="B32" t="s">
        <v>5</v>
      </c>
      <c r="D32" s="35">
        <v>9702</v>
      </c>
      <c r="E32" s="35">
        <v>14395</v>
      </c>
      <c r="F32" s="35">
        <v>20988</v>
      </c>
      <c r="G32" s="35">
        <v>23779</v>
      </c>
      <c r="H32" s="35">
        <v>28476</v>
      </c>
      <c r="I32" s="35">
        <v>23721</v>
      </c>
      <c r="J32" s="41">
        <f>J34*J19</f>
        <v>32850.89415875604</v>
      </c>
      <c r="K32" s="41">
        <f t="shared" ref="K32:N32" si="40">K34*K19</f>
        <v>36366.293127762074</v>
      </c>
      <c r="L32" s="41">
        <f t="shared" si="40"/>
        <v>39140.785182974156</v>
      </c>
      <c r="M32" s="41">
        <f t="shared" si="40"/>
        <v>45931.982751769232</v>
      </c>
      <c r="N32" s="41">
        <f t="shared" si="40"/>
        <v>51359.370439583217</v>
      </c>
      <c r="O32" s="35"/>
      <c r="P32" s="35">
        <v>40688</v>
      </c>
      <c r="Q32" s="41">
        <v>32850.89415875604</v>
      </c>
      <c r="R32" s="148">
        <f t="shared" si="10"/>
        <v>-0.19261467364441509</v>
      </c>
      <c r="S32" s="35"/>
      <c r="T32" s="35">
        <v>5890</v>
      </c>
      <c r="U32" s="35">
        <v>23721</v>
      </c>
      <c r="V32" s="35">
        <v>7762</v>
      </c>
      <c r="W32" s="32">
        <f t="shared" si="11"/>
        <v>0.3178268251273344</v>
      </c>
      <c r="X32" s="32">
        <f t="shared" si="12"/>
        <v>-0.67277939378609664</v>
      </c>
    </row>
    <row r="33" spans="2:24" s="39" customFormat="1" x14ac:dyDescent="0.3">
      <c r="B33" s="39" t="s">
        <v>95</v>
      </c>
      <c r="E33" s="39">
        <f>E32/D32-1</f>
        <v>0.48371469800041234</v>
      </c>
      <c r="F33" s="39">
        <f t="shared" ref="F33:I33" si="41">F32/E32-1</f>
        <v>0.45800625217089275</v>
      </c>
      <c r="G33" s="39">
        <f t="shared" si="41"/>
        <v>0.13298075090527917</v>
      </c>
      <c r="H33" s="39">
        <f t="shared" si="41"/>
        <v>0.19752722990874294</v>
      </c>
      <c r="I33" s="39">
        <f t="shared" si="41"/>
        <v>-0.16698272229245681</v>
      </c>
      <c r="J33" s="39">
        <f t="shared" ref="J33" si="42">J32/I32-1</f>
        <v>0.38488656290864798</v>
      </c>
      <c r="K33" s="39">
        <f t="shared" ref="K33" si="43">K32/J32-1</f>
        <v>0.10701075447193098</v>
      </c>
      <c r="L33" s="39">
        <f t="shared" ref="L33" si="44">L32/K32-1</f>
        <v>7.629295747753928E-2</v>
      </c>
      <c r="M33" s="39">
        <f t="shared" ref="M33" si="45">M32/L32-1</f>
        <v>0.17350693239922999</v>
      </c>
      <c r="N33" s="39">
        <f t="shared" ref="N33" si="46">N32/M32-1</f>
        <v>0.11816140655510732</v>
      </c>
      <c r="Q33" s="39">
        <v>0.38488656290864798</v>
      </c>
      <c r="R33" s="148"/>
      <c r="W33" s="40"/>
      <c r="X33" s="40"/>
    </row>
    <row r="34" spans="2:24" s="39" customFormat="1" x14ac:dyDescent="0.3">
      <c r="B34" s="39" t="s">
        <v>182</v>
      </c>
      <c r="D34" s="39">
        <f>D32/D19</f>
        <v>1.857286432160804E-2</v>
      </c>
      <c r="E34" s="39">
        <f t="shared" ref="E34:I34" si="47">E32/E19</f>
        <v>2.5202874826013497E-2</v>
      </c>
      <c r="F34" s="39">
        <f t="shared" si="47"/>
        <v>3.0871969875264769E-2</v>
      </c>
      <c r="G34" s="39">
        <f t="shared" si="47"/>
        <v>3.0113875253914461E-2</v>
      </c>
      <c r="H34" s="39">
        <f t="shared" si="47"/>
        <v>3.038289100527294E-2</v>
      </c>
      <c r="I34" s="39">
        <f t="shared" si="47"/>
        <v>2.2411983291871652E-2</v>
      </c>
      <c r="J34" s="42">
        <f>AVERAGE(G34:I34)</f>
        <v>2.7636249850353015E-2</v>
      </c>
      <c r="K34" s="42">
        <f t="shared" ref="K34:N34" si="48">AVERAGE(H34:J34)</f>
        <v>2.6810374715832534E-2</v>
      </c>
      <c r="L34" s="42">
        <f t="shared" si="48"/>
        <v>2.5619535952685735E-2</v>
      </c>
      <c r="M34" s="42">
        <f t="shared" si="48"/>
        <v>2.6688720172957092E-2</v>
      </c>
      <c r="N34" s="42">
        <f t="shared" si="48"/>
        <v>2.6372876947158452E-2</v>
      </c>
      <c r="Q34" s="42">
        <v>2.7636249850353015E-2</v>
      </c>
      <c r="R34" s="148"/>
      <c r="W34" s="40"/>
      <c r="X34" s="40"/>
    </row>
    <row r="35" spans="2:24" s="39" customFormat="1" x14ac:dyDescent="0.3">
      <c r="R35" s="148"/>
      <c r="W35" s="136"/>
      <c r="X35" s="136"/>
    </row>
    <row r="36" spans="2:24" s="12" customFormat="1" x14ac:dyDescent="0.3">
      <c r="B36" s="12" t="s">
        <v>82</v>
      </c>
      <c r="D36" s="33">
        <f>D23+D26+D32</f>
        <v>204409</v>
      </c>
      <c r="E36" s="33">
        <f>E23+E26+E32</f>
        <v>271279</v>
      </c>
      <c r="F36" s="33">
        <f t="shared" ref="F36:G36" si="49">F23+F26+F32</f>
        <v>305838</v>
      </c>
      <c r="G36" s="33">
        <f t="shared" si="49"/>
        <v>402132</v>
      </c>
      <c r="H36" s="33">
        <f>H23+H26+H32+H30</f>
        <v>468380</v>
      </c>
      <c r="I36" s="33">
        <f t="shared" ref="I36:V36" si="50">I23+I26+I32+I30</f>
        <v>578741</v>
      </c>
      <c r="J36" s="43">
        <f t="shared" si="50"/>
        <v>685213.72246006678</v>
      </c>
      <c r="K36" s="43">
        <f t="shared" si="50"/>
        <v>666862.74109563965</v>
      </c>
      <c r="L36" s="43">
        <f t="shared" si="50"/>
        <v>771972.28343186376</v>
      </c>
      <c r="M36" s="43">
        <f t="shared" si="50"/>
        <v>886335.60765703965</v>
      </c>
      <c r="N36" s="43">
        <f t="shared" si="50"/>
        <v>1020910.4426086356</v>
      </c>
      <c r="O36" s="43">
        <f t="shared" si="50"/>
        <v>0</v>
      </c>
      <c r="P36" s="43">
        <f t="shared" si="50"/>
        <v>631216</v>
      </c>
      <c r="Q36" s="43">
        <v>685213.72246006678</v>
      </c>
      <c r="R36" s="148">
        <f t="shared" si="10"/>
        <v>8.5545554073513275E-2</v>
      </c>
      <c r="S36" s="33"/>
      <c r="T36" s="33">
        <f t="shared" si="50"/>
        <v>149141</v>
      </c>
      <c r="U36" s="33">
        <f t="shared" si="50"/>
        <v>578741</v>
      </c>
      <c r="V36" s="33">
        <f t="shared" si="50"/>
        <v>147968</v>
      </c>
      <c r="W36" s="47">
        <f t="shared" si="11"/>
        <v>-7.865040465063311E-3</v>
      </c>
      <c r="X36" s="47">
        <f t="shared" si="12"/>
        <v>-0.74432777356364932</v>
      </c>
    </row>
    <row r="37" spans="2:24" s="45" customFormat="1" x14ac:dyDescent="0.3">
      <c r="B37" s="45" t="s">
        <v>95</v>
      </c>
      <c r="E37" s="45">
        <f>E36/D36-1</f>
        <v>0.32713823755314109</v>
      </c>
      <c r="F37" s="45">
        <f t="shared" ref="F37:N37" si="51">F36/E36-1</f>
        <v>0.12739283173411864</v>
      </c>
      <c r="G37" s="45">
        <f t="shared" si="51"/>
        <v>0.3148529613717066</v>
      </c>
      <c r="H37" s="45">
        <f t="shared" si="51"/>
        <v>0.16474192553688849</v>
      </c>
      <c r="I37" s="45">
        <f t="shared" si="51"/>
        <v>0.23562278491822886</v>
      </c>
      <c r="J37" s="45">
        <f t="shared" si="51"/>
        <v>0.18397300771859393</v>
      </c>
      <c r="K37" s="45">
        <f t="shared" si="51"/>
        <v>-2.6781397924348527E-2</v>
      </c>
      <c r="L37" s="45">
        <f t="shared" si="51"/>
        <v>0.15761795622819119</v>
      </c>
      <c r="M37" s="45">
        <f t="shared" si="51"/>
        <v>0.14814433973816343</v>
      </c>
      <c r="N37" s="45">
        <f t="shared" si="51"/>
        <v>0.15183282019700672</v>
      </c>
      <c r="Q37" s="45">
        <v>0.18397300771859393</v>
      </c>
      <c r="R37" s="148"/>
      <c r="W37" s="53"/>
      <c r="X37" s="53"/>
    </row>
    <row r="38" spans="2:24" s="39" customFormat="1" x14ac:dyDescent="0.3">
      <c r="B38" s="39" t="s">
        <v>166</v>
      </c>
      <c r="D38" s="39">
        <f>D36/D40</f>
        <v>0.28125137592462135</v>
      </c>
      <c r="E38" s="39">
        <f t="shared" ref="E38:N38" si="52">E36/E40</f>
        <v>0.32201428225496292</v>
      </c>
      <c r="F38" s="39">
        <f t="shared" si="52"/>
        <v>0.31028185675240799</v>
      </c>
      <c r="G38" s="39">
        <f t="shared" si="52"/>
        <v>0.33742473367299675</v>
      </c>
      <c r="H38" s="39">
        <f t="shared" si="52"/>
        <v>0.33321997868553194</v>
      </c>
      <c r="I38" s="39">
        <f t="shared" si="52"/>
        <v>0.35350560853386498</v>
      </c>
      <c r="J38" s="39">
        <f t="shared" si="52"/>
        <v>0.36566139402331799</v>
      </c>
      <c r="K38" s="39">
        <f t="shared" si="52"/>
        <v>0.32959343909537991</v>
      </c>
      <c r="L38" s="39">
        <f t="shared" si="52"/>
        <v>0.3356775838005796</v>
      </c>
      <c r="M38" s="39">
        <f t="shared" si="52"/>
        <v>0.33993581361075614</v>
      </c>
      <c r="N38" s="39">
        <f t="shared" si="52"/>
        <v>0.34393290049850206</v>
      </c>
      <c r="Q38" s="39">
        <v>0.36566139402331799</v>
      </c>
      <c r="R38" s="148"/>
      <c r="W38" s="49"/>
      <c r="X38" s="49"/>
    </row>
    <row r="39" spans="2:24" s="45" customFormat="1" x14ac:dyDescent="0.3">
      <c r="R39" s="148"/>
      <c r="W39" s="53"/>
      <c r="X39" s="53"/>
    </row>
    <row r="40" spans="2:24" s="29" customFormat="1" x14ac:dyDescent="0.3">
      <c r="B40" s="29" t="s">
        <v>84</v>
      </c>
      <c r="D40" s="36">
        <f>D19+D36</f>
        <v>726784</v>
      </c>
      <c r="E40" s="36">
        <f t="shared" ref="E40:P40" si="53">E19+E36</f>
        <v>842444</v>
      </c>
      <c r="F40" s="36">
        <f t="shared" si="53"/>
        <v>985678</v>
      </c>
      <c r="G40" s="36">
        <f t="shared" si="53"/>
        <v>1191768</v>
      </c>
      <c r="H40" s="36">
        <f t="shared" si="53"/>
        <v>1405618</v>
      </c>
      <c r="I40" s="36">
        <f t="shared" si="53"/>
        <v>1637148</v>
      </c>
      <c r="J40" s="43">
        <f t="shared" si="53"/>
        <v>1873902.2868144815</v>
      </c>
      <c r="K40" s="43">
        <f t="shared" si="53"/>
        <v>2023288.8825880378</v>
      </c>
      <c r="L40" s="43">
        <f t="shared" si="53"/>
        <v>2299743.3271876727</v>
      </c>
      <c r="M40" s="43">
        <f t="shared" si="53"/>
        <v>2607361.6611397681</v>
      </c>
      <c r="N40" s="43">
        <f t="shared" si="53"/>
        <v>2968341.9095088346</v>
      </c>
      <c r="O40" s="43">
        <f t="shared" si="53"/>
        <v>0</v>
      </c>
      <c r="P40" s="43">
        <f t="shared" si="53"/>
        <v>1824697</v>
      </c>
      <c r="Q40" s="43">
        <v>1873902.2868144815</v>
      </c>
      <c r="R40" s="148">
        <f t="shared" si="10"/>
        <v>2.696627813520891E-2</v>
      </c>
      <c r="S40" s="36"/>
      <c r="T40" s="36">
        <f t="shared" ref="T40:U40" si="54">T19+T36</f>
        <v>414298</v>
      </c>
      <c r="U40" s="36">
        <f t="shared" si="54"/>
        <v>1637148</v>
      </c>
      <c r="V40" s="36">
        <f t="shared" ref="V40" si="55">V19+V36</f>
        <v>459996</v>
      </c>
      <c r="W40" s="48">
        <f t="shared" si="11"/>
        <v>0.11030224620925044</v>
      </c>
      <c r="X40" s="48">
        <f t="shared" si="12"/>
        <v>-0.7190260135308475</v>
      </c>
    </row>
    <row r="41" spans="2:24" s="45" customFormat="1" x14ac:dyDescent="0.3">
      <c r="B41" s="45" t="s">
        <v>95</v>
      </c>
      <c r="E41" s="45">
        <f>E40/D40-1</f>
        <v>0.15913944170482575</v>
      </c>
      <c r="F41" s="45">
        <f t="shared" ref="F41:N41" si="56">F40/E40-1</f>
        <v>0.17002198365707399</v>
      </c>
      <c r="G41" s="45">
        <f t="shared" si="56"/>
        <v>0.20908450832827752</v>
      </c>
      <c r="H41" s="45">
        <f t="shared" si="56"/>
        <v>0.17943928684106303</v>
      </c>
      <c r="I41" s="45">
        <f t="shared" si="56"/>
        <v>0.16471758329788044</v>
      </c>
      <c r="J41" s="45">
        <f t="shared" si="56"/>
        <v>0.14461385703337837</v>
      </c>
      <c r="K41" s="45">
        <f t="shared" si="56"/>
        <v>7.9719522637172524E-2</v>
      </c>
      <c r="L41" s="45">
        <f t="shared" si="56"/>
        <v>0.13663617043455267</v>
      </c>
      <c r="M41" s="45">
        <f t="shared" si="56"/>
        <v>0.13376202914273838</v>
      </c>
      <c r="N41" s="45">
        <f t="shared" si="56"/>
        <v>0.1384465583540373</v>
      </c>
      <c r="Q41" s="45">
        <v>0.14461385703337837</v>
      </c>
      <c r="R41" s="148"/>
      <c r="W41" s="40"/>
      <c r="X41" s="40"/>
    </row>
    <row r="42" spans="2:24" s="12" customFormat="1" x14ac:dyDescent="0.3">
      <c r="D42" s="33"/>
      <c r="E42" s="33"/>
      <c r="F42" s="33"/>
      <c r="G42" s="33"/>
      <c r="H42" s="33"/>
      <c r="I42" s="33"/>
      <c r="J42" s="35"/>
      <c r="K42" s="35"/>
      <c r="L42" s="35"/>
      <c r="M42" s="35"/>
      <c r="N42" s="35"/>
      <c r="O42" s="33"/>
      <c r="P42" s="33"/>
      <c r="Q42" s="35"/>
      <c r="R42" s="148"/>
      <c r="S42" s="33"/>
      <c r="T42" s="33"/>
      <c r="U42" s="33"/>
      <c r="V42" s="33"/>
      <c r="W42" s="32"/>
      <c r="X42" s="32"/>
    </row>
    <row r="43" spans="2:24" x14ac:dyDescent="0.3">
      <c r="B43" t="s">
        <v>6</v>
      </c>
      <c r="D43" s="35">
        <v>-182579</v>
      </c>
      <c r="E43" s="35">
        <v>-210174</v>
      </c>
      <c r="F43" s="35">
        <v>-243679</v>
      </c>
      <c r="G43" s="35">
        <v>-266296</v>
      </c>
      <c r="H43" s="35">
        <v>-297923</v>
      </c>
      <c r="I43" s="35">
        <v>-335656</v>
      </c>
      <c r="J43" s="41">
        <f>(J40*J45)*-1</f>
        <v>-400029.80484836071</v>
      </c>
      <c r="K43" s="41">
        <f t="shared" ref="K43:N43" si="57">(K40*K45)*-1</f>
        <v>-425194.59994594438</v>
      </c>
      <c r="L43" s="41">
        <f t="shared" si="57"/>
        <v>-481910.64775628073</v>
      </c>
      <c r="M43" s="41">
        <f t="shared" si="57"/>
        <v>-550304.6929418575</v>
      </c>
      <c r="N43" s="41">
        <f t="shared" si="57"/>
        <v>-624101.83312940609</v>
      </c>
      <c r="O43" s="35"/>
      <c r="P43" s="35">
        <v>-375642</v>
      </c>
      <c r="Q43" s="41">
        <v>-400029.80484836071</v>
      </c>
      <c r="R43" s="148">
        <f t="shared" si="10"/>
        <v>6.4922998089565809E-2</v>
      </c>
      <c r="S43" s="35"/>
      <c r="T43" s="35">
        <v>-85952</v>
      </c>
      <c r="U43" s="35">
        <v>-335656</v>
      </c>
      <c r="V43" s="35">
        <v>-95833</v>
      </c>
      <c r="W43" s="32">
        <f t="shared" si="11"/>
        <v>0.11495951228592705</v>
      </c>
      <c r="X43" s="32">
        <f t="shared" si="12"/>
        <v>-0.71449043067902851</v>
      </c>
    </row>
    <row r="44" spans="2:24" s="39" customFormat="1" x14ac:dyDescent="0.3">
      <c r="B44" s="44" t="s">
        <v>95</v>
      </c>
      <c r="E44" s="39">
        <f>E43/D43-1</f>
        <v>0.15114005444218659</v>
      </c>
      <c r="F44" s="39">
        <f t="shared" ref="F44:I44" si="58">F43/E43-1</f>
        <v>0.15941553189262225</v>
      </c>
      <c r="G44" s="39">
        <f t="shared" si="58"/>
        <v>9.2814727571928657E-2</v>
      </c>
      <c r="H44" s="39">
        <f t="shared" si="58"/>
        <v>0.11876633520593627</v>
      </c>
      <c r="I44" s="39">
        <f t="shared" si="58"/>
        <v>0.12665353128157286</v>
      </c>
      <c r="J44" s="39">
        <f t="shared" ref="J44" si="59">J43/I43-1</f>
        <v>0.19178505627297215</v>
      </c>
      <c r="K44" s="39">
        <f t="shared" ref="K44" si="60">K43/J43-1</f>
        <v>6.2907300387587073E-2</v>
      </c>
      <c r="L44" s="39">
        <f t="shared" ref="L44" si="61">L43/K43-1</f>
        <v>0.13338844806012751</v>
      </c>
      <c r="M44" s="39">
        <f t="shared" ref="M44" si="62">M43/L43-1</f>
        <v>0.14192266866069758</v>
      </c>
      <c r="N44" s="39">
        <f t="shared" ref="N44" si="63">N43/M43-1</f>
        <v>0.13410232755428386</v>
      </c>
      <c r="Q44" s="39">
        <v>0.19178505627297215</v>
      </c>
      <c r="R44" s="148"/>
      <c r="W44" s="40"/>
      <c r="X44" s="40"/>
    </row>
    <row r="45" spans="2:24" s="39" customFormat="1" x14ac:dyDescent="0.3">
      <c r="B45" s="39" t="s">
        <v>167</v>
      </c>
      <c r="D45" s="39">
        <f>(D43/D40)*-1</f>
        <v>0.2512149414406481</v>
      </c>
      <c r="E45" s="39">
        <f t="shared" ref="E45:I45" si="64">(E43/E40)*-1</f>
        <v>0.24948127115867641</v>
      </c>
      <c r="F45" s="39">
        <f t="shared" si="64"/>
        <v>0.24721968026069366</v>
      </c>
      <c r="G45" s="39">
        <f t="shared" si="64"/>
        <v>0.22344617408757408</v>
      </c>
      <c r="H45" s="39">
        <f t="shared" si="64"/>
        <v>0.21195161131971843</v>
      </c>
      <c r="I45" s="39">
        <f t="shared" si="64"/>
        <v>0.20502483587311593</v>
      </c>
      <c r="J45" s="42">
        <f>AVERAGE(G45:I45)</f>
        <v>0.21347420709346951</v>
      </c>
      <c r="K45" s="42">
        <f t="shared" ref="K45:N45" si="65">AVERAGE(H45:J45)</f>
        <v>0.21015021809543463</v>
      </c>
      <c r="L45" s="42">
        <f t="shared" si="65"/>
        <v>0.20954975368734005</v>
      </c>
      <c r="M45" s="42">
        <f t="shared" si="65"/>
        <v>0.21105805962541471</v>
      </c>
      <c r="N45" s="42">
        <f t="shared" si="65"/>
        <v>0.21025267713606313</v>
      </c>
      <c r="Q45" s="42">
        <v>0.21347420709346951</v>
      </c>
      <c r="R45" s="148"/>
      <c r="W45" s="40"/>
      <c r="X45" s="40"/>
    </row>
    <row r="46" spans="2:24" s="39" customFormat="1" x14ac:dyDescent="0.3">
      <c r="B46" s="39" t="s">
        <v>168</v>
      </c>
      <c r="D46" s="39">
        <f t="shared" ref="D46:N46" si="66">D43/D56</f>
        <v>0.44475814407826303</v>
      </c>
      <c r="E46" s="39">
        <f t="shared" si="66"/>
        <v>0.50176666634834843</v>
      </c>
      <c r="F46" s="39">
        <f t="shared" si="66"/>
        <v>0.53611910482174763</v>
      </c>
      <c r="G46" s="39">
        <f t="shared" si="66"/>
        <v>0.53751238840344517</v>
      </c>
      <c r="H46" s="39">
        <f t="shared" si="66"/>
        <v>0.54526503435325469</v>
      </c>
      <c r="I46" s="39">
        <f t="shared" si="66"/>
        <v>0.5427927818663717</v>
      </c>
      <c r="J46" s="39">
        <f t="shared" si="66"/>
        <v>0.63316182095724005</v>
      </c>
      <c r="K46" s="39">
        <f t="shared" si="66"/>
        <v>0.6912415157919114</v>
      </c>
      <c r="L46" s="39">
        <f t="shared" si="66"/>
        <v>0.75684915162300437</v>
      </c>
      <c r="M46" s="39">
        <f t="shared" si="66"/>
        <v>0.8135637930344477</v>
      </c>
      <c r="N46" s="39">
        <f t="shared" si="66"/>
        <v>0.85906383915593243</v>
      </c>
      <c r="Q46" s="39">
        <v>0.63316182095724005</v>
      </c>
      <c r="R46" s="148"/>
      <c r="W46" s="40"/>
      <c r="X46" s="40"/>
    </row>
    <row r="47" spans="2:24" s="39" customFormat="1" x14ac:dyDescent="0.3">
      <c r="R47" s="148"/>
      <c r="W47" s="40"/>
      <c r="X47" s="40"/>
    </row>
    <row r="48" spans="2:24" x14ac:dyDescent="0.3">
      <c r="B48" t="s">
        <v>7</v>
      </c>
      <c r="D48" s="35">
        <v>-10793</v>
      </c>
      <c r="E48" s="35">
        <v>-10603</v>
      </c>
      <c r="F48" s="35">
        <v>-9747</v>
      </c>
      <c r="G48" s="35">
        <v>-17746</v>
      </c>
      <c r="H48" s="35">
        <v>-15328</v>
      </c>
      <c r="I48" s="35">
        <v>10398</v>
      </c>
      <c r="J48" s="41">
        <f>(1+J50)*I48</f>
        <v>10330.607078436946</v>
      </c>
      <c r="K48" s="41">
        <f t="shared" ref="K48:N48" si="67">(1+K50)*J48</f>
        <v>10292.608150878288</v>
      </c>
      <c r="L48" s="41">
        <f t="shared" si="67"/>
        <v>10279.542260907712</v>
      </c>
      <c r="M48" s="41">
        <f t="shared" si="67"/>
        <v>10240.38040844806</v>
      </c>
      <c r="N48" s="41">
        <f t="shared" si="67"/>
        <v>10210.487309834329</v>
      </c>
      <c r="O48" s="39"/>
      <c r="P48" s="146">
        <v>-13090</v>
      </c>
      <c r="Q48" s="41">
        <v>10330.607078436946</v>
      </c>
      <c r="R48" s="148">
        <f t="shared" si="10"/>
        <v>-1.7891984017140525</v>
      </c>
      <c r="S48" s="35"/>
      <c r="T48" s="35">
        <v>-1491</v>
      </c>
      <c r="U48" s="35">
        <v>10398</v>
      </c>
      <c r="V48" s="35">
        <v>-2863</v>
      </c>
      <c r="W48" s="32">
        <f t="shared" si="11"/>
        <v>0.92018779342723001</v>
      </c>
      <c r="X48" s="32">
        <f t="shared" si="12"/>
        <v>-1.2753414118099635</v>
      </c>
    </row>
    <row r="49" spans="2:24" s="39" customFormat="1" x14ac:dyDescent="0.3">
      <c r="B49" s="39" t="s">
        <v>95</v>
      </c>
      <c r="E49" s="39">
        <f>E48/D48-1</f>
        <v>-1.7604002594274082E-2</v>
      </c>
      <c r="F49" s="39">
        <f t="shared" ref="F49:I49" si="68">F48/E48-1</f>
        <v>-8.0731868339149249E-2</v>
      </c>
      <c r="G49" s="39">
        <f t="shared" si="68"/>
        <v>0.82066276803118909</v>
      </c>
      <c r="H49" s="39">
        <f t="shared" si="68"/>
        <v>-0.13625605770314442</v>
      </c>
      <c r="I49" s="39">
        <f t="shared" si="68"/>
        <v>-1.678366388308977</v>
      </c>
      <c r="J49" s="39">
        <f t="shared" ref="J49" si="69">J48/I48-1</f>
        <v>-6.4813350224133259E-3</v>
      </c>
      <c r="K49" s="39">
        <f t="shared" ref="K49" si="70">K48/J48-1</f>
        <v>-3.6782860165084363E-3</v>
      </c>
      <c r="L49" s="39">
        <f t="shared" ref="L49" si="71">L48/K48-1</f>
        <v>-1.2694440300304866E-3</v>
      </c>
      <c r="M49" s="39">
        <f t="shared" ref="M49" si="72">M48/L48-1</f>
        <v>-3.8096883563173423E-3</v>
      </c>
      <c r="N49" s="39">
        <f t="shared" ref="N49" si="73">N48/M48-1</f>
        <v>-2.9191394676187921E-3</v>
      </c>
      <c r="Q49" s="39">
        <v>-6.4813350224133259E-3</v>
      </c>
      <c r="R49" s="148"/>
      <c r="W49" s="40"/>
      <c r="X49" s="40"/>
    </row>
    <row r="50" spans="2:24" s="39" customFormat="1" x14ac:dyDescent="0.3">
      <c r="B50" s="39" t="s">
        <v>98</v>
      </c>
      <c r="D50" s="39">
        <f>D48/D40</f>
        <v>-1.4850354438182459E-2</v>
      </c>
      <c r="E50" s="39">
        <f t="shared" ref="E50:I50" si="74">E48/E40</f>
        <v>-1.2585999781587856E-2</v>
      </c>
      <c r="F50" s="39">
        <f t="shared" si="74"/>
        <v>-9.8886248856117319E-3</v>
      </c>
      <c r="G50" s="39">
        <f t="shared" si="74"/>
        <v>-1.4890482040128616E-2</v>
      </c>
      <c r="H50" s="39">
        <f t="shared" si="74"/>
        <v>-1.0904811975942254E-2</v>
      </c>
      <c r="I50" s="39">
        <f t="shared" si="74"/>
        <v>6.3512889488305272E-3</v>
      </c>
      <c r="J50" s="42">
        <f>AVERAGE(G50:I50)</f>
        <v>-6.4813350224134474E-3</v>
      </c>
      <c r="K50" s="42">
        <f t="shared" ref="K50:N50" si="75">AVERAGE(H50:J50)</f>
        <v>-3.6782860165083912E-3</v>
      </c>
      <c r="L50" s="42">
        <f t="shared" si="75"/>
        <v>-1.2694440300304371E-3</v>
      </c>
      <c r="M50" s="42">
        <f t="shared" si="75"/>
        <v>-3.8096883563174255E-3</v>
      </c>
      <c r="N50" s="42">
        <f t="shared" si="75"/>
        <v>-2.9191394676187517E-3</v>
      </c>
      <c r="Q50" s="42">
        <v>-6.4813350224134474E-3</v>
      </c>
      <c r="R50" s="148"/>
      <c r="W50" s="40"/>
      <c r="X50" s="40"/>
    </row>
    <row r="51" spans="2:24" s="39" customFormat="1" x14ac:dyDescent="0.3">
      <c r="R51" s="148"/>
      <c r="W51" s="40"/>
      <c r="X51" s="40"/>
    </row>
    <row r="52" spans="2:24" x14ac:dyDescent="0.3">
      <c r="B52" t="s">
        <v>8</v>
      </c>
      <c r="D52" s="35">
        <v>-217141</v>
      </c>
      <c r="E52" s="35">
        <v>-198091</v>
      </c>
      <c r="F52" s="35">
        <v>-201098</v>
      </c>
      <c r="G52" s="35">
        <v>-211381</v>
      </c>
      <c r="H52" s="35">
        <v>-233131</v>
      </c>
      <c r="I52" s="35">
        <v>-293129</v>
      </c>
      <c r="J52" s="41">
        <f>(1+J54)*I52</f>
        <v>-242097.90623672531</v>
      </c>
      <c r="K52" s="41">
        <f t="shared" ref="K52:N52" si="76">(1+K54)*J52</f>
        <v>-200215.28665547076</v>
      </c>
      <c r="L52" s="41">
        <f t="shared" si="76"/>
        <v>-165101.65257518931</v>
      </c>
      <c r="M52" s="41">
        <f t="shared" si="76"/>
        <v>-136348.15524532407</v>
      </c>
      <c r="N52" s="41">
        <f t="shared" si="76"/>
        <v>-112599.28815078983</v>
      </c>
      <c r="O52" s="35"/>
      <c r="P52" s="35">
        <v>-284629</v>
      </c>
      <c r="Q52" s="41">
        <v>-242097.90623672531</v>
      </c>
      <c r="R52" s="148">
        <f t="shared" si="10"/>
        <v>-0.14942642444471466</v>
      </c>
      <c r="S52" s="35"/>
      <c r="T52" s="35">
        <v>-65609</v>
      </c>
      <c r="U52" s="35">
        <v>-293129</v>
      </c>
      <c r="V52" s="35">
        <v>-74259</v>
      </c>
      <c r="W52" s="32">
        <f t="shared" si="11"/>
        <v>0.1318416680638328</v>
      </c>
      <c r="X52" s="32">
        <f t="shared" si="12"/>
        <v>-0.74666784930866614</v>
      </c>
    </row>
    <row r="53" spans="2:24" s="39" customFormat="1" x14ac:dyDescent="0.3">
      <c r="B53" s="128" t="s">
        <v>95</v>
      </c>
      <c r="E53" s="39">
        <f>E52/D52-1</f>
        <v>-8.7731013488931198E-2</v>
      </c>
      <c r="F53" s="39">
        <f t="shared" ref="F53:I53" si="77">F52/E52-1</f>
        <v>1.51798920698063E-2</v>
      </c>
      <c r="G53" s="39">
        <f t="shared" si="77"/>
        <v>5.1134272842096928E-2</v>
      </c>
      <c r="H53" s="39">
        <f t="shared" si="77"/>
        <v>0.10289477294553429</v>
      </c>
      <c r="I53" s="39">
        <f t="shared" si="77"/>
        <v>0.257357451389991</v>
      </c>
      <c r="J53" s="39">
        <f t="shared" ref="J53" si="78">J52/I52-1</f>
        <v>-0.17409090797319504</v>
      </c>
      <c r="K53" s="39">
        <f t="shared" ref="K53" si="79">K52/J52-1</f>
        <v>-0.17299868566521748</v>
      </c>
      <c r="L53" s="39">
        <f t="shared" ref="L53" si="80">L52/K52-1</f>
        <v>-0.17537938619394622</v>
      </c>
      <c r="M53" s="39">
        <f t="shared" ref="M53" si="81">M52/L52-1</f>
        <v>-0.17415632661078628</v>
      </c>
      <c r="N53" s="39">
        <f t="shared" ref="N53" si="82">N52/M52-1</f>
        <v>-0.17417813282331662</v>
      </c>
      <c r="Q53" s="39">
        <v>-0.17409090797319504</v>
      </c>
      <c r="R53" s="148"/>
      <c r="W53" s="40"/>
      <c r="X53" s="40"/>
    </row>
    <row r="54" spans="2:24" s="39" customFormat="1" x14ac:dyDescent="0.3">
      <c r="B54" s="39" t="s">
        <v>99</v>
      </c>
      <c r="D54" s="39">
        <f t="shared" ref="D54:I54" si="83">D52/D40</f>
        <v>-0.29876964820359281</v>
      </c>
      <c r="E54" s="39">
        <f t="shared" si="83"/>
        <v>-0.2351384780472055</v>
      </c>
      <c r="F54" s="39">
        <f t="shared" si="83"/>
        <v>-0.20401997406861064</v>
      </c>
      <c r="G54" s="39">
        <f t="shared" si="83"/>
        <v>-0.17736757489712762</v>
      </c>
      <c r="H54" s="39">
        <f t="shared" si="83"/>
        <v>-0.16585658407903142</v>
      </c>
      <c r="I54" s="39">
        <f t="shared" si="83"/>
        <v>-0.179048564943426</v>
      </c>
      <c r="J54" s="42">
        <f>AVERAGE(G54:I54)</f>
        <v>-0.17409090797319501</v>
      </c>
      <c r="K54" s="42">
        <f t="shared" ref="K54:N54" si="84">AVERAGE(H54:J54)</f>
        <v>-0.17299868566521748</v>
      </c>
      <c r="L54" s="42">
        <f t="shared" si="84"/>
        <v>-0.17537938619394619</v>
      </c>
      <c r="M54" s="42">
        <f t="shared" si="84"/>
        <v>-0.17415632661078626</v>
      </c>
      <c r="N54" s="42">
        <f t="shared" si="84"/>
        <v>-0.17417813282331665</v>
      </c>
      <c r="Q54" s="42">
        <v>-0.17409090797319501</v>
      </c>
      <c r="R54" s="148"/>
      <c r="W54" s="40"/>
      <c r="X54" s="40"/>
    </row>
    <row r="55" spans="2:24" x14ac:dyDescent="0.3">
      <c r="B55" s="39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148"/>
      <c r="S55" s="35"/>
      <c r="T55" s="35"/>
      <c r="U55" s="35"/>
      <c r="V55" s="35"/>
      <c r="W55" s="32"/>
      <c r="X55" s="32"/>
    </row>
    <row r="56" spans="2:24" s="12" customFormat="1" x14ac:dyDescent="0.3">
      <c r="B56" s="12" t="s">
        <v>97</v>
      </c>
      <c r="D56" s="33">
        <f t="shared" ref="D56:P56" si="85">D43+D48+D52</f>
        <v>-410513</v>
      </c>
      <c r="E56" s="33">
        <f t="shared" si="85"/>
        <v>-418868</v>
      </c>
      <c r="F56" s="33">
        <f t="shared" si="85"/>
        <v>-454524</v>
      </c>
      <c r="G56" s="33">
        <f t="shared" si="85"/>
        <v>-495423</v>
      </c>
      <c r="H56" s="33">
        <f t="shared" si="85"/>
        <v>-546382</v>
      </c>
      <c r="I56" s="33">
        <f t="shared" si="85"/>
        <v>-618387</v>
      </c>
      <c r="J56" s="43">
        <f t="shared" si="85"/>
        <v>-631797.10400664911</v>
      </c>
      <c r="K56" s="43">
        <f t="shared" si="85"/>
        <v>-615117.27845053689</v>
      </c>
      <c r="L56" s="43">
        <f t="shared" si="85"/>
        <v>-636732.75807056227</v>
      </c>
      <c r="M56" s="43">
        <f t="shared" si="85"/>
        <v>-676412.46777873347</v>
      </c>
      <c r="N56" s="43">
        <f t="shared" si="85"/>
        <v>-726490.63397036155</v>
      </c>
      <c r="O56" s="43">
        <f t="shared" si="85"/>
        <v>0</v>
      </c>
      <c r="P56" s="43">
        <f t="shared" si="85"/>
        <v>-673361</v>
      </c>
      <c r="Q56" s="43">
        <v>-631797.10400664911</v>
      </c>
      <c r="R56" s="148">
        <f t="shared" si="10"/>
        <v>-6.172602213872036E-2</v>
      </c>
      <c r="S56" s="33"/>
      <c r="T56" s="33">
        <f>T43+T48+T52</f>
        <v>-153052</v>
      </c>
      <c r="U56" s="33">
        <f>U43+U48+U52</f>
        <v>-618387</v>
      </c>
      <c r="V56" s="33">
        <f>V43+V48+V52</f>
        <v>-172955</v>
      </c>
      <c r="W56" s="32">
        <f t="shared" si="11"/>
        <v>0.13004077045709961</v>
      </c>
      <c r="X56" s="32">
        <f t="shared" si="12"/>
        <v>-0.72031268445164598</v>
      </c>
    </row>
    <row r="57" spans="2:24" s="39" customFormat="1" x14ac:dyDescent="0.3">
      <c r="B57" s="39" t="s">
        <v>95</v>
      </c>
      <c r="E57" s="39">
        <f>E56/D56-1</f>
        <v>2.0352583231225241E-2</v>
      </c>
      <c r="F57" s="39">
        <f t="shared" ref="F57:N57" si="86">F56/E56-1</f>
        <v>8.5124669346906323E-2</v>
      </c>
      <c r="G57" s="39">
        <f t="shared" si="86"/>
        <v>8.9982047152625588E-2</v>
      </c>
      <c r="H57" s="39">
        <f t="shared" si="86"/>
        <v>0.10285957656386557</v>
      </c>
      <c r="I57" s="39">
        <f t="shared" si="86"/>
        <v>0.13178508808855338</v>
      </c>
      <c r="J57" s="39">
        <f t="shared" si="86"/>
        <v>2.1685617593269368E-2</v>
      </c>
      <c r="K57" s="39">
        <f t="shared" si="86"/>
        <v>-2.6400604640847924E-2</v>
      </c>
      <c r="L57" s="39">
        <f t="shared" si="86"/>
        <v>3.514042017235175E-2</v>
      </c>
      <c r="M57" s="39">
        <f t="shared" si="86"/>
        <v>6.2317682269731556E-2</v>
      </c>
      <c r="N57" s="39">
        <f t="shared" si="86"/>
        <v>7.4034954376402062E-2</v>
      </c>
      <c r="Q57" s="39">
        <v>2.1685617593269368E-2</v>
      </c>
      <c r="R57" s="148"/>
      <c r="W57" s="40"/>
      <c r="X57" s="40"/>
    </row>
    <row r="58" spans="2:24" s="12" customFormat="1" x14ac:dyDescent="0.3"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148"/>
      <c r="S58" s="33"/>
      <c r="T58" s="33"/>
      <c r="U58" s="33"/>
      <c r="V58" s="33"/>
      <c r="W58" s="32"/>
      <c r="X58" s="32"/>
    </row>
    <row r="59" spans="2:24" x14ac:dyDescent="0.3">
      <c r="B59" t="s">
        <v>81</v>
      </c>
      <c r="D59" s="35">
        <v>-100410</v>
      </c>
      <c r="E59" s="35">
        <v>-119312</v>
      </c>
      <c r="F59" s="35">
        <v>-113129</v>
      </c>
      <c r="G59" s="35">
        <v>-81180</v>
      </c>
      <c r="H59" s="35">
        <f>-84435</f>
        <v>-84435</v>
      </c>
      <c r="I59" s="35">
        <v>-87471</v>
      </c>
      <c r="J59" s="41">
        <f>-1*(J62*J176)</f>
        <v>-108445.64782141378</v>
      </c>
      <c r="K59" s="41">
        <f>-1*(K62*K176)</f>
        <v>-118723.86416913477</v>
      </c>
      <c r="L59" s="41">
        <f>-1*(L62*L176)</f>
        <v>-132915.59895257343</v>
      </c>
      <c r="M59" s="41">
        <f>-1*(M62*M176)</f>
        <v>-152745.6739888702</v>
      </c>
      <c r="N59" s="41">
        <f>-1*(N62*N176)</f>
        <v>-171176.33118040446</v>
      </c>
      <c r="O59" s="35"/>
      <c r="P59" s="35">
        <v>-80574</v>
      </c>
      <c r="Q59" s="41">
        <v>-108445.64782141378</v>
      </c>
      <c r="R59" s="148">
        <f t="shared" si="10"/>
        <v>0.34591366720547301</v>
      </c>
      <c r="S59" s="35"/>
      <c r="T59" s="35">
        <v>-25145</v>
      </c>
      <c r="U59" s="35">
        <v>-87471</v>
      </c>
      <c r="V59" s="35">
        <v>-23193</v>
      </c>
      <c r="W59" s="32">
        <f t="shared" si="11"/>
        <v>-7.7629747464704746E-2</v>
      </c>
      <c r="X59" s="32">
        <f t="shared" si="12"/>
        <v>-0.73484926432760567</v>
      </c>
    </row>
    <row r="60" spans="2:24" s="39" customFormat="1" x14ac:dyDescent="0.3">
      <c r="B60" s="39" t="s">
        <v>95</v>
      </c>
      <c r="E60" s="39">
        <f>E59/D59-1</f>
        <v>0.18824818245194708</v>
      </c>
      <c r="F60" s="39">
        <f t="shared" ref="F60:I60" si="87">F59/E59-1</f>
        <v>-5.1822113450449292E-2</v>
      </c>
      <c r="G60" s="39">
        <f t="shared" si="87"/>
        <v>-0.28241211360482277</v>
      </c>
      <c r="H60" s="39">
        <f t="shared" si="87"/>
        <v>4.0096082779009556E-2</v>
      </c>
      <c r="I60" s="39">
        <f t="shared" si="87"/>
        <v>3.5956653046722353E-2</v>
      </c>
      <c r="J60" s="39">
        <f t="shared" ref="J60" si="88">J59/I59-1</f>
        <v>0.23978973398513537</v>
      </c>
      <c r="K60" s="39">
        <f t="shared" ref="K60" si="89">K59/J59-1</f>
        <v>9.4777582634270052E-2</v>
      </c>
      <c r="L60" s="39">
        <f t="shared" ref="L60" si="90">L59/K59-1</f>
        <v>0.11953565429121338</v>
      </c>
      <c r="M60" s="39">
        <f t="shared" ref="M60" si="91">M59/L59-1</f>
        <v>0.14919298556802563</v>
      </c>
      <c r="N60" s="39">
        <f t="shared" ref="N60" si="92">N59/M59-1</f>
        <v>0.12066238414632435</v>
      </c>
      <c r="Q60" s="39">
        <v>0.23978973398513537</v>
      </c>
      <c r="R60" s="148"/>
      <c r="W60" s="40"/>
      <c r="X60" s="40"/>
    </row>
    <row r="61" spans="2:24" s="39" customFormat="1" ht="13.8" customHeight="1" x14ac:dyDescent="0.3">
      <c r="B61" s="39" t="s">
        <v>100</v>
      </c>
      <c r="D61" s="39">
        <f t="shared" ref="D61:I61" si="93">(D59/D124)*-1</f>
        <v>2.79693125861071E-2</v>
      </c>
      <c r="E61" s="39">
        <f t="shared" si="93"/>
        <v>2.9037518882832375E-2</v>
      </c>
      <c r="F61" s="39">
        <f t="shared" si="93"/>
        <v>2.4308257123598472E-2</v>
      </c>
      <c r="G61" s="39">
        <f t="shared" si="93"/>
        <v>1.3497150185972374E-2</v>
      </c>
      <c r="H61" s="39">
        <f t="shared" si="93"/>
        <v>1.0955731371461381E-2</v>
      </c>
      <c r="I61" s="39">
        <f t="shared" si="93"/>
        <v>1.0292307849798269E-2</v>
      </c>
      <c r="J61" s="39">
        <f>AVERAGE(G61:I61)</f>
        <v>1.1581729802410673E-2</v>
      </c>
      <c r="K61" s="39">
        <f t="shared" ref="K61:N62" si="94">AVERAGE(H61:J61)</f>
        <v>1.0943256341223442E-2</v>
      </c>
      <c r="L61" s="39">
        <f t="shared" si="94"/>
        <v>1.0939097997810794E-2</v>
      </c>
      <c r="M61" s="39">
        <f t="shared" si="94"/>
        <v>1.115469471381497E-2</v>
      </c>
      <c r="N61" s="39">
        <f t="shared" si="94"/>
        <v>1.1012349684283071E-2</v>
      </c>
      <c r="Q61" s="39">
        <v>1.1581729802410673E-2</v>
      </c>
      <c r="R61" s="148"/>
      <c r="W61" s="40"/>
      <c r="X61" s="40"/>
    </row>
    <row r="62" spans="2:24" s="39" customFormat="1" x14ac:dyDescent="0.3">
      <c r="B62" s="39" t="s">
        <v>177</v>
      </c>
      <c r="D62" s="39">
        <f t="shared" ref="D62:I62" si="95">(D59/D176)*-1</f>
        <v>0.56241703214531769</v>
      </c>
      <c r="E62" s="39">
        <f t="shared" si="95"/>
        <v>0.51590585773153974</v>
      </c>
      <c r="F62" s="39">
        <f t="shared" si="95"/>
        <v>0.58149659724078373</v>
      </c>
      <c r="G62" s="39">
        <f t="shared" si="95"/>
        <v>0.41610924020851592</v>
      </c>
      <c r="H62" s="39">
        <f t="shared" si="95"/>
        <v>0.33353611085873647</v>
      </c>
      <c r="I62" s="39">
        <f t="shared" si="95"/>
        <v>0.33917554954961943</v>
      </c>
      <c r="J62" s="42">
        <f>AVERAGE(G62:I62)</f>
        <v>0.36294030020562396</v>
      </c>
      <c r="K62" s="42">
        <f t="shared" si="94"/>
        <v>0.34521732020465995</v>
      </c>
      <c r="L62" s="42">
        <f t="shared" si="94"/>
        <v>0.34911105665330111</v>
      </c>
      <c r="M62" s="42">
        <f t="shared" si="94"/>
        <v>0.35242289235452834</v>
      </c>
      <c r="N62" s="42">
        <f t="shared" si="94"/>
        <v>0.34891708973749647</v>
      </c>
      <c r="Q62" s="42">
        <v>0.36294030020562396</v>
      </c>
      <c r="R62" s="148"/>
    </row>
    <row r="63" spans="2:24" s="39" customFormat="1" x14ac:dyDescent="0.3">
      <c r="R63" s="148"/>
    </row>
    <row r="64" spans="2:24" s="30" customFormat="1" x14ac:dyDescent="0.3">
      <c r="B64" s="30" t="s">
        <v>85</v>
      </c>
      <c r="D64" s="37">
        <f t="shared" ref="D64:P64" si="96">D40+D56+D59</f>
        <v>215861</v>
      </c>
      <c r="E64" s="37">
        <f t="shared" si="96"/>
        <v>304264</v>
      </c>
      <c r="F64" s="37">
        <f t="shared" si="96"/>
        <v>418025</v>
      </c>
      <c r="G64" s="37">
        <f t="shared" si="96"/>
        <v>615165</v>
      </c>
      <c r="H64" s="37">
        <f t="shared" si="96"/>
        <v>774801</v>
      </c>
      <c r="I64" s="37">
        <f t="shared" si="96"/>
        <v>931290</v>
      </c>
      <c r="J64" s="43">
        <f t="shared" si="96"/>
        <v>1133659.5349864187</v>
      </c>
      <c r="K64" s="43">
        <f t="shared" si="96"/>
        <v>1289447.739968366</v>
      </c>
      <c r="L64" s="43">
        <f t="shared" si="96"/>
        <v>1530094.970164537</v>
      </c>
      <c r="M64" s="43">
        <f t="shared" si="96"/>
        <v>1778203.5193721645</v>
      </c>
      <c r="N64" s="43">
        <f t="shared" si="96"/>
        <v>2070674.9443580685</v>
      </c>
      <c r="O64" s="43">
        <f t="shared" si="96"/>
        <v>0</v>
      </c>
      <c r="P64" s="43">
        <f t="shared" si="96"/>
        <v>1070762</v>
      </c>
      <c r="Q64" s="43">
        <v>1133659.5349864187</v>
      </c>
      <c r="R64" s="148">
        <f t="shared" si="10"/>
        <v>5.8740910665879609E-2</v>
      </c>
      <c r="S64" s="37"/>
      <c r="T64" s="37">
        <f>T40+T56+T59</f>
        <v>236101</v>
      </c>
      <c r="U64" s="37">
        <f>U40+U56+U59</f>
        <v>931290</v>
      </c>
      <c r="V64" s="37">
        <f>V40+V56+V59</f>
        <v>263848</v>
      </c>
      <c r="W64" s="32">
        <f t="shared" si="11"/>
        <v>0.11752173857798143</v>
      </c>
      <c r="X64" s="32">
        <f t="shared" si="12"/>
        <v>-0.71668545780583925</v>
      </c>
    </row>
    <row r="65" spans="2:24" s="45" customFormat="1" x14ac:dyDescent="0.3">
      <c r="B65" s="45" t="s">
        <v>95</v>
      </c>
      <c r="E65" s="45">
        <f>E64/D64-1</f>
        <v>0.40953669259384506</v>
      </c>
      <c r="F65" s="45">
        <f t="shared" ref="F65:N65" si="97">F64/E64-1</f>
        <v>0.37388912260405438</v>
      </c>
      <c r="G65" s="45">
        <f t="shared" si="97"/>
        <v>0.47159858860116022</v>
      </c>
      <c r="H65" s="45">
        <f t="shared" si="97"/>
        <v>0.25950110945843807</v>
      </c>
      <c r="I65" s="45">
        <f t="shared" si="97"/>
        <v>0.20197315181575659</v>
      </c>
      <c r="J65" s="45">
        <f t="shared" si="97"/>
        <v>0.21730023406932175</v>
      </c>
      <c r="K65" s="45">
        <f t="shared" si="97"/>
        <v>0.13742062777588138</v>
      </c>
      <c r="L65" s="45">
        <f t="shared" si="97"/>
        <v>0.18662813756381835</v>
      </c>
      <c r="M65" s="45">
        <f t="shared" si="97"/>
        <v>0.16215238533915799</v>
      </c>
      <c r="N65" s="45">
        <f t="shared" si="97"/>
        <v>0.16447578795095841</v>
      </c>
      <c r="Q65" s="45">
        <v>0.21730023406932175</v>
      </c>
      <c r="R65" s="148"/>
      <c r="W65" s="40"/>
      <c r="X65" s="40"/>
    </row>
    <row r="66" spans="2:24" s="50" customFormat="1" x14ac:dyDescent="0.3"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148"/>
      <c r="S66" s="51"/>
      <c r="T66" s="51"/>
      <c r="U66" s="51"/>
      <c r="V66" s="51"/>
      <c r="W66" s="32"/>
      <c r="X66" s="32"/>
    </row>
    <row r="67" spans="2:24" x14ac:dyDescent="0.3">
      <c r="B67" t="s">
        <v>9</v>
      </c>
      <c r="D67" s="35">
        <v>-71122</v>
      </c>
      <c r="E67" s="35">
        <v>-90980</v>
      </c>
      <c r="F67" s="35">
        <v>-125876</v>
      </c>
      <c r="G67" s="35">
        <v>-183493</v>
      </c>
      <c r="H67" s="35">
        <v>-229594</v>
      </c>
      <c r="I67" s="35">
        <v>-284397</v>
      </c>
      <c r="J67" s="41">
        <f>(J64*J68)*-1</f>
        <v>-340093.56046864996</v>
      </c>
      <c r="K67" s="41">
        <f t="shared" ref="K67:N67" si="98">(K64*K68)*-1</f>
        <v>-387565.97750707145</v>
      </c>
      <c r="L67" s="41">
        <f t="shared" si="98"/>
        <v>-462059.74148017546</v>
      </c>
      <c r="M67" s="41">
        <f t="shared" si="98"/>
        <v>-534969.39391764801</v>
      </c>
      <c r="N67" s="41">
        <f t="shared" si="98"/>
        <v>-623546.99897124432</v>
      </c>
      <c r="O67" s="35"/>
      <c r="P67" s="35">
        <v>-320990</v>
      </c>
      <c r="Q67" s="41">
        <v>-340093.56046864996</v>
      </c>
      <c r="R67" s="148">
        <f t="shared" si="10"/>
        <v>5.9514503469422664E-2</v>
      </c>
      <c r="S67" s="35"/>
      <c r="T67" s="35">
        <v>-74356</v>
      </c>
      <c r="U67" s="35">
        <v>-284397</v>
      </c>
      <c r="V67" s="35">
        <v>-79094</v>
      </c>
      <c r="W67" s="32">
        <f t="shared" si="11"/>
        <v>6.3720479853677015E-2</v>
      </c>
      <c r="X67" s="32">
        <f t="shared" si="12"/>
        <v>-0.72188876816562764</v>
      </c>
    </row>
    <row r="68" spans="2:24" s="39" customFormat="1" x14ac:dyDescent="0.3">
      <c r="B68" s="39" t="s">
        <v>101</v>
      </c>
      <c r="D68" s="39">
        <f>(D67/D64)*-1</f>
        <v>0.32948054535094345</v>
      </c>
      <c r="E68" s="39">
        <f t="shared" ref="E68:H68" si="99">(E67/E64)*-1</f>
        <v>0.29901664344122209</v>
      </c>
      <c r="F68" s="39">
        <f t="shared" si="99"/>
        <v>0.30112074636684411</v>
      </c>
      <c r="G68" s="39">
        <f t="shared" si="99"/>
        <v>0.29828257459380819</v>
      </c>
      <c r="H68" s="39">
        <f t="shared" si="99"/>
        <v>0.29632641155599954</v>
      </c>
      <c r="I68" s="39">
        <f>(I67/I64)*-1</f>
        <v>0.30537963470025448</v>
      </c>
      <c r="J68" s="42">
        <f>AVERAGE(G68:I68)</f>
        <v>0.29999620695002077</v>
      </c>
      <c r="K68" s="42">
        <f t="shared" ref="K68:N68" si="100">AVERAGE(H68:J68)</f>
        <v>0.30056741773542495</v>
      </c>
      <c r="L68" s="42">
        <f t="shared" si="100"/>
        <v>0.30198108646190008</v>
      </c>
      <c r="M68" s="42">
        <f t="shared" si="100"/>
        <v>0.30084823704911529</v>
      </c>
      <c r="N68" s="42">
        <f t="shared" si="100"/>
        <v>0.30113224708214675</v>
      </c>
      <c r="Q68" s="42">
        <v>0.29999620695002077</v>
      </c>
      <c r="R68" s="148"/>
      <c r="W68" s="40"/>
      <c r="X68" s="40"/>
    </row>
    <row r="69" spans="2:24" s="39" customFormat="1" x14ac:dyDescent="0.3">
      <c r="J69" s="35"/>
      <c r="K69" s="35"/>
      <c r="L69" s="35"/>
      <c r="M69" s="35"/>
      <c r="N69" s="35"/>
      <c r="Q69" s="35"/>
      <c r="R69" s="148"/>
      <c r="W69" s="40"/>
      <c r="X69" s="40"/>
    </row>
    <row r="70" spans="2:24" s="28" customFormat="1" x14ac:dyDescent="0.3">
      <c r="B70" s="28" t="s">
        <v>86</v>
      </c>
      <c r="D70" s="38">
        <f>D64+D67</f>
        <v>144739</v>
      </c>
      <c r="E70" s="38">
        <f t="shared" ref="E70:P70" si="101">E64+E67</f>
        <v>213284</v>
      </c>
      <c r="F70" s="38">
        <f t="shared" si="101"/>
        <v>292149</v>
      </c>
      <c r="G70" s="38">
        <f t="shared" si="101"/>
        <v>431672</v>
      </c>
      <c r="H70" s="38">
        <f t="shared" si="101"/>
        <v>545207</v>
      </c>
      <c r="I70" s="38">
        <f t="shared" si="101"/>
        <v>646893</v>
      </c>
      <c r="J70" s="43">
        <f t="shared" si="101"/>
        <v>793565.97451776871</v>
      </c>
      <c r="K70" s="43">
        <f t="shared" si="101"/>
        <v>901881.76246129454</v>
      </c>
      <c r="L70" s="43">
        <f t="shared" si="101"/>
        <v>1068035.2286843616</v>
      </c>
      <c r="M70" s="43">
        <f t="shared" si="101"/>
        <v>1243234.1254545166</v>
      </c>
      <c r="N70" s="43">
        <f t="shared" si="101"/>
        <v>1447127.9453868242</v>
      </c>
      <c r="O70" s="43">
        <f t="shared" si="101"/>
        <v>0</v>
      </c>
      <c r="P70" s="43">
        <f t="shared" si="101"/>
        <v>749772</v>
      </c>
      <c r="Q70" s="43">
        <v>793565.97451776871</v>
      </c>
      <c r="R70" s="148">
        <f t="shared" si="10"/>
        <v>5.8409722579355838E-2</v>
      </c>
      <c r="S70" s="38"/>
      <c r="T70" s="38">
        <f t="shared" ref="T70:U70" si="102">T64+T67</f>
        <v>161745</v>
      </c>
      <c r="U70" s="38">
        <f t="shared" si="102"/>
        <v>646893</v>
      </c>
      <c r="V70" s="38">
        <f t="shared" ref="V70" si="103">V64+V67</f>
        <v>184754</v>
      </c>
      <c r="W70" s="32">
        <f t="shared" si="11"/>
        <v>0.14225478376456779</v>
      </c>
      <c r="X70" s="32">
        <f t="shared" si="12"/>
        <v>-0.71439789887972194</v>
      </c>
    </row>
    <row r="71" spans="2:24" s="45" customFormat="1" x14ac:dyDescent="0.3">
      <c r="B71" s="45" t="s">
        <v>95</v>
      </c>
      <c r="E71" s="45">
        <f>E70/D70-1</f>
        <v>0.47357657576741574</v>
      </c>
      <c r="F71" s="45">
        <f t="shared" ref="F71:N71" si="104">F70/E70-1</f>
        <v>0.36976519570150601</v>
      </c>
      <c r="G71" s="45">
        <f t="shared" si="104"/>
        <v>0.47757479916070222</v>
      </c>
      <c r="H71" s="45">
        <f t="shared" si="104"/>
        <v>0.26301219444392965</v>
      </c>
      <c r="I71" s="45">
        <f t="shared" si="104"/>
        <v>0.18650897732420901</v>
      </c>
      <c r="J71" s="45">
        <f t="shared" si="104"/>
        <v>0.22673452103789771</v>
      </c>
      <c r="K71" s="45">
        <f t="shared" si="104"/>
        <v>0.13649248004785841</v>
      </c>
      <c r="L71" s="45">
        <f t="shared" si="104"/>
        <v>0.18422976618312292</v>
      </c>
      <c r="M71" s="45">
        <f t="shared" si="104"/>
        <v>0.164038499915373</v>
      </c>
      <c r="N71" s="45">
        <f t="shared" si="104"/>
        <v>0.16400275359057215</v>
      </c>
      <c r="Q71" s="45">
        <v>0.22673452103789771</v>
      </c>
      <c r="R71" s="148"/>
      <c r="W71" s="40"/>
      <c r="X71" s="40"/>
    </row>
    <row r="72" spans="2:24" s="12" customFormat="1" x14ac:dyDescent="0.3">
      <c r="D72" s="33"/>
      <c r="E72" s="33"/>
      <c r="F72" s="33"/>
      <c r="G72" s="33"/>
      <c r="H72" s="33"/>
      <c r="I72" s="33"/>
      <c r="J72" s="35"/>
      <c r="K72" s="35"/>
      <c r="L72" s="35"/>
      <c r="M72" s="35"/>
      <c r="N72" s="35"/>
      <c r="O72" s="33"/>
      <c r="P72" s="33"/>
      <c r="Q72" s="35"/>
      <c r="R72" s="148"/>
      <c r="S72" s="33"/>
      <c r="T72" s="33"/>
      <c r="U72" s="33"/>
      <c r="V72" s="33"/>
      <c r="W72" s="32"/>
      <c r="X72" s="32"/>
    </row>
    <row r="73" spans="2:24" x14ac:dyDescent="0.3">
      <c r="B73" t="s">
        <v>10</v>
      </c>
      <c r="D73" s="35">
        <v>0</v>
      </c>
      <c r="E73" s="35">
        <v>0</v>
      </c>
      <c r="F73" s="35">
        <v>-228</v>
      </c>
      <c r="G73" s="35">
        <v>521</v>
      </c>
      <c r="H73" s="35">
        <v>464</v>
      </c>
      <c r="I73" s="35">
        <v>500</v>
      </c>
      <c r="J73" s="35">
        <v>500</v>
      </c>
      <c r="K73" s="35">
        <v>500</v>
      </c>
      <c r="L73" s="35">
        <v>500</v>
      </c>
      <c r="M73" s="35">
        <v>500</v>
      </c>
      <c r="N73" s="35">
        <v>500</v>
      </c>
      <c r="O73" s="35"/>
      <c r="P73" s="35">
        <v>2425</v>
      </c>
      <c r="Q73" s="35">
        <v>500</v>
      </c>
      <c r="R73" s="148">
        <f t="shared" si="10"/>
        <v>-0.79381443298969079</v>
      </c>
      <c r="S73" s="35"/>
      <c r="T73" s="35">
        <v>2588</v>
      </c>
      <c r="U73" s="35">
        <v>500</v>
      </c>
      <c r="V73" s="35">
        <v>3273</v>
      </c>
      <c r="W73" s="32">
        <f t="shared" si="11"/>
        <v>0.26468315301391043</v>
      </c>
      <c r="X73" s="32">
        <f t="shared" si="12"/>
        <v>5.5460000000000003</v>
      </c>
    </row>
    <row r="74" spans="2:24" s="39" customFormat="1" x14ac:dyDescent="0.3">
      <c r="B74" s="39" t="s">
        <v>102</v>
      </c>
      <c r="G74" s="39">
        <f>G73/F73-1</f>
        <v>-3.2850877192982457</v>
      </c>
      <c r="H74" s="39">
        <f t="shared" ref="H74:I74" si="105">H73/G73-1</f>
        <v>-0.10940499040307106</v>
      </c>
      <c r="I74" s="39">
        <f t="shared" si="105"/>
        <v>7.7586206896551824E-2</v>
      </c>
      <c r="J74" s="39">
        <f t="shared" ref="J74" si="106">J73/I73-1</f>
        <v>0</v>
      </c>
      <c r="K74" s="39">
        <f t="shared" ref="K74" si="107">K73/J73-1</f>
        <v>0</v>
      </c>
      <c r="L74" s="39">
        <f t="shared" ref="L74" si="108">L73/K73-1</f>
        <v>0</v>
      </c>
      <c r="M74" s="39">
        <f t="shared" ref="M74" si="109">M73/L73-1</f>
        <v>0</v>
      </c>
      <c r="N74" s="39">
        <f t="shared" ref="N74" si="110">N73/M73-1</f>
        <v>0</v>
      </c>
      <c r="Q74" s="39">
        <v>0</v>
      </c>
      <c r="R74" s="148"/>
      <c r="W74" s="40"/>
      <c r="X74" s="40"/>
    </row>
    <row r="75" spans="2:24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148"/>
      <c r="S75" s="35"/>
      <c r="T75" s="35"/>
      <c r="U75" s="35"/>
      <c r="V75" s="35"/>
      <c r="W75" s="32"/>
      <c r="X75" s="32"/>
    </row>
    <row r="76" spans="2:24" x14ac:dyDescent="0.3">
      <c r="B76" t="s">
        <v>11</v>
      </c>
      <c r="D76" s="35">
        <v>168</v>
      </c>
      <c r="E76" s="35">
        <v>-257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/>
      <c r="P76" s="35"/>
      <c r="Q76" s="35">
        <v>0</v>
      </c>
      <c r="R76" s="148"/>
      <c r="S76" s="35"/>
      <c r="T76" s="35">
        <v>0</v>
      </c>
      <c r="U76" s="35">
        <v>0</v>
      </c>
      <c r="V76" s="35">
        <v>0</v>
      </c>
      <c r="W76" s="32" t="e">
        <f>IFERROR(V76/T76-1,NA())</f>
        <v>#N/A</v>
      </c>
      <c r="X76" s="32" t="e">
        <f>IFERROR(W76/U76-1,NA())</f>
        <v>#N/A</v>
      </c>
    </row>
    <row r="77" spans="2:24" s="28" customFormat="1" x14ac:dyDescent="0.3">
      <c r="B77" s="28" t="s">
        <v>12</v>
      </c>
      <c r="D77" s="38">
        <f>D70+D73+D76</f>
        <v>144907</v>
      </c>
      <c r="E77" s="38">
        <f t="shared" ref="E77:V77" si="111">E70+E73+E76</f>
        <v>213027</v>
      </c>
      <c r="F77" s="38">
        <f t="shared" si="111"/>
        <v>291921</v>
      </c>
      <c r="G77" s="38">
        <f t="shared" si="111"/>
        <v>432193</v>
      </c>
      <c r="H77" s="38">
        <f t="shared" si="111"/>
        <v>545671</v>
      </c>
      <c r="I77" s="38">
        <f t="shared" si="111"/>
        <v>647393</v>
      </c>
      <c r="J77" s="43">
        <f>J70+J73+J76</f>
        <v>794065.97451776871</v>
      </c>
      <c r="K77" s="43">
        <f t="shared" si="111"/>
        <v>902381.76246129454</v>
      </c>
      <c r="L77" s="43">
        <f t="shared" si="111"/>
        <v>1068535.2286843616</v>
      </c>
      <c r="M77" s="43">
        <f t="shared" si="111"/>
        <v>1243734.1254545166</v>
      </c>
      <c r="N77" s="43">
        <f t="shared" si="111"/>
        <v>1447627.9453868242</v>
      </c>
      <c r="O77" s="43">
        <f t="shared" si="111"/>
        <v>0</v>
      </c>
      <c r="P77" s="43">
        <f t="shared" si="111"/>
        <v>752197</v>
      </c>
      <c r="Q77" s="43">
        <v>794065.97451776871</v>
      </c>
      <c r="R77" s="148">
        <f t="shared" ref="R76:R139" si="112">Q77/P77-1</f>
        <v>5.5662246084162481E-2</v>
      </c>
      <c r="S77" s="38"/>
      <c r="T77" s="38">
        <f t="shared" si="111"/>
        <v>164333</v>
      </c>
      <c r="U77" s="38">
        <f t="shared" si="111"/>
        <v>647393</v>
      </c>
      <c r="V77" s="38">
        <f t="shared" si="111"/>
        <v>188027</v>
      </c>
      <c r="W77" s="32">
        <f t="shared" si="11"/>
        <v>0.14418284824107142</v>
      </c>
      <c r="X77" s="32">
        <f t="shared" si="12"/>
        <v>-0.70956281578577463</v>
      </c>
    </row>
    <row r="78" spans="2:24" s="45" customFormat="1" x14ac:dyDescent="0.3">
      <c r="B78" s="45" t="s">
        <v>95</v>
      </c>
      <c r="E78" s="45">
        <f>E77/D77-1</f>
        <v>0.47009461240657791</v>
      </c>
      <c r="F78" s="45">
        <f t="shared" ref="F78:L78" si="113">F77/E77-1</f>
        <v>0.37034742074948257</v>
      </c>
      <c r="G78" s="45">
        <f t="shared" si="113"/>
        <v>0.4805135636011113</v>
      </c>
      <c r="H78" s="45">
        <f t="shared" si="113"/>
        <v>0.26256325299114058</v>
      </c>
      <c r="I78" s="45">
        <f t="shared" si="113"/>
        <v>0.18641635710895388</v>
      </c>
      <c r="J78" s="45">
        <f t="shared" si="113"/>
        <v>0.22655940752799109</v>
      </c>
      <c r="K78" s="45">
        <f t="shared" si="113"/>
        <v>0.13640653474581299</v>
      </c>
      <c r="L78" s="45">
        <f t="shared" si="113"/>
        <v>0.18412768645708733</v>
      </c>
      <c r="M78" s="45">
        <f>M77/L77-1</f>
        <v>0.16396174133244945</v>
      </c>
      <c r="N78" s="45">
        <f t="shared" ref="N78" si="114">N77/M77-1</f>
        <v>0.16393682199384507</v>
      </c>
      <c r="Q78" s="45">
        <v>0.22655940752799109</v>
      </c>
      <c r="R78" s="148"/>
      <c r="W78" s="40"/>
      <c r="X78" s="40"/>
    </row>
    <row r="79" spans="2:24" s="39" customFormat="1" x14ac:dyDescent="0.3">
      <c r="B79" s="39" t="s">
        <v>184</v>
      </c>
      <c r="D79" s="39">
        <f>D77/D40</f>
        <v>0.19938110910531878</v>
      </c>
      <c r="E79" s="39">
        <f t="shared" ref="E79:N79" si="115">E77/E40</f>
        <v>0.25286784640878207</v>
      </c>
      <c r="F79" s="39">
        <f t="shared" si="115"/>
        <v>0.29616264134940617</v>
      </c>
      <c r="G79" s="39">
        <f t="shared" si="115"/>
        <v>0.36264860274818589</v>
      </c>
      <c r="H79" s="39">
        <f t="shared" si="115"/>
        <v>0.38820718004464938</v>
      </c>
      <c r="I79" s="39">
        <f t="shared" si="115"/>
        <v>0.39543950821794976</v>
      </c>
      <c r="J79" s="39">
        <f t="shared" si="115"/>
        <v>0.42374993621872992</v>
      </c>
      <c r="K79" s="39">
        <f t="shared" si="115"/>
        <v>0.44599748964519403</v>
      </c>
      <c r="L79" s="39">
        <f t="shared" si="115"/>
        <v>0.46463238573282867</v>
      </c>
      <c r="M79" s="39">
        <f t="shared" si="115"/>
        <v>0.47700867278643555</v>
      </c>
      <c r="N79" s="39">
        <f t="shared" si="115"/>
        <v>0.48768908350802492</v>
      </c>
      <c r="Q79" s="39">
        <v>0.42374993621872992</v>
      </c>
      <c r="R79" s="148"/>
      <c r="W79" s="40"/>
      <c r="X79" s="40"/>
    </row>
    <row r="80" spans="2:24" s="12" customFormat="1" x14ac:dyDescent="0.3">
      <c r="D80" s="33"/>
      <c r="E80" s="33"/>
      <c r="F80" s="33"/>
      <c r="G80" s="33"/>
      <c r="H80" s="33"/>
      <c r="I80" s="33"/>
      <c r="J80" s="35"/>
      <c r="K80" s="35"/>
      <c r="L80" s="35"/>
      <c r="M80" s="35"/>
      <c r="N80" s="35"/>
      <c r="O80" s="33"/>
      <c r="P80" s="33"/>
      <c r="Q80" s="35"/>
      <c r="R80" s="148"/>
      <c r="S80" s="33"/>
      <c r="T80" s="33"/>
      <c r="U80" s="33"/>
      <c r="V80" s="33"/>
      <c r="W80" s="32"/>
      <c r="X80" s="32"/>
    </row>
    <row r="81" spans="2:25" x14ac:dyDescent="0.3">
      <c r="B81" t="s">
        <v>13</v>
      </c>
      <c r="D81" s="35">
        <v>3450</v>
      </c>
      <c r="E81" s="35">
        <v>3474</v>
      </c>
      <c r="F81" s="35">
        <v>3482</v>
      </c>
      <c r="G81" s="35">
        <v>3544</v>
      </c>
      <c r="H81" s="35">
        <v>3442</v>
      </c>
      <c r="I81" s="35">
        <v>3463</v>
      </c>
      <c r="J81" s="41">
        <f>(1+J82)*I81</f>
        <v>3457.3736919924036</v>
      </c>
      <c r="K81" s="41">
        <f t="shared" ref="K81:N81" si="116">(1+K82)*J81</f>
        <v>3429.3636335251572</v>
      </c>
      <c r="L81" s="41">
        <f t="shared" si="116"/>
        <v>3425.2196705712249</v>
      </c>
      <c r="M81" s="41">
        <f t="shared" si="116"/>
        <v>3412.7351894351532</v>
      </c>
      <c r="N81" s="41">
        <f t="shared" si="116"/>
        <v>3397.9981013974216</v>
      </c>
      <c r="O81" s="35"/>
      <c r="P81" s="35">
        <v>4088</v>
      </c>
      <c r="Q81" s="41">
        <v>3457.3736919924036</v>
      </c>
      <c r="R81" s="148">
        <f t="shared" si="112"/>
        <v>-0.15426279550087973</v>
      </c>
      <c r="S81" s="35"/>
      <c r="T81" s="35">
        <v>3847</v>
      </c>
      <c r="U81" s="35">
        <v>3463</v>
      </c>
      <c r="V81" s="35">
        <v>4044</v>
      </c>
      <c r="W81" s="32">
        <f t="shared" si="11"/>
        <v>5.1208734078502793E-2</v>
      </c>
      <c r="X81" s="32">
        <f t="shared" si="12"/>
        <v>0.16777360669939356</v>
      </c>
    </row>
    <row r="82" spans="2:25" s="39" customFormat="1" x14ac:dyDescent="0.3">
      <c r="B82" s="39" t="s">
        <v>95</v>
      </c>
      <c r="E82" s="39">
        <f>E81/D81-1</f>
        <v>6.9565217391305278E-3</v>
      </c>
      <c r="F82" s="39">
        <f t="shared" ref="F82:I82" si="117">F81/E81-1</f>
        <v>2.3028209556708035E-3</v>
      </c>
      <c r="G82" s="39">
        <f t="shared" si="117"/>
        <v>1.7805858701895438E-2</v>
      </c>
      <c r="H82" s="39">
        <f t="shared" si="117"/>
        <v>-2.8781038374717793E-2</v>
      </c>
      <c r="I82" s="39">
        <f t="shared" si="117"/>
        <v>6.1011040092968649E-3</v>
      </c>
      <c r="J82" s="42">
        <f>AVERAGE(G82:I82)</f>
        <v>-1.6246918878418299E-3</v>
      </c>
      <c r="K82" s="42">
        <f t="shared" ref="K82:N82" si="118">AVERAGE(H82:J82)</f>
        <v>-8.1015420844209197E-3</v>
      </c>
      <c r="L82" s="42">
        <f t="shared" si="118"/>
        <v>-1.2083766543219616E-3</v>
      </c>
      <c r="M82" s="42">
        <f t="shared" si="118"/>
        <v>-3.6448702088615705E-3</v>
      </c>
      <c r="N82" s="42">
        <f t="shared" si="118"/>
        <v>-4.3182629825348172E-3</v>
      </c>
      <c r="Q82" s="42">
        <v>-1.6246918878418299E-3</v>
      </c>
      <c r="R82" s="148"/>
      <c r="W82" s="40"/>
      <c r="X82" s="40"/>
    </row>
    <row r="83" spans="2: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148"/>
      <c r="S83" s="35"/>
      <c r="T83" s="35"/>
      <c r="U83" s="35"/>
      <c r="V83" s="35"/>
      <c r="W83" s="32"/>
      <c r="X83" s="32"/>
    </row>
    <row r="84" spans="2: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148"/>
      <c r="S84" s="35"/>
      <c r="T84" s="35"/>
      <c r="U84" s="35"/>
      <c r="V84" s="35"/>
      <c r="W84" s="32"/>
      <c r="X84" s="32"/>
    </row>
    <row r="85" spans="2:25" x14ac:dyDescent="0.3">
      <c r="B85" t="s">
        <v>14</v>
      </c>
      <c r="D85" s="35">
        <v>289</v>
      </c>
      <c r="E85" s="35">
        <v>420</v>
      </c>
      <c r="F85" s="35">
        <v>584</v>
      </c>
      <c r="G85" s="35">
        <v>863</v>
      </c>
      <c r="H85" s="35">
        <v>1010</v>
      </c>
      <c r="I85" s="35">
        <v>1205</v>
      </c>
      <c r="J85" s="35"/>
      <c r="K85" s="35"/>
      <c r="L85" s="35"/>
      <c r="M85" s="35"/>
      <c r="N85" s="35"/>
      <c r="O85" s="35"/>
      <c r="P85" s="35">
        <v>1500</v>
      </c>
      <c r="Q85" s="35"/>
      <c r="R85" s="148"/>
      <c r="S85" s="35"/>
      <c r="T85" s="35">
        <v>1294</v>
      </c>
      <c r="U85" s="35">
        <v>1205</v>
      </c>
      <c r="V85" s="35">
        <v>1478</v>
      </c>
      <c r="W85" s="32">
        <f t="shared" si="11"/>
        <v>0.14219474497681617</v>
      </c>
      <c r="X85" s="32">
        <f t="shared" si="12"/>
        <v>0.22655601659751046</v>
      </c>
    </row>
    <row r="86" spans="2:25" x14ac:dyDescent="0.3">
      <c r="B86" t="s">
        <v>15</v>
      </c>
      <c r="D86" s="35">
        <v>289</v>
      </c>
      <c r="E86" s="35">
        <v>420</v>
      </c>
      <c r="F86" s="35">
        <v>584</v>
      </c>
      <c r="G86" s="35">
        <v>863</v>
      </c>
      <c r="H86" s="35">
        <v>1010</v>
      </c>
      <c r="I86" s="35">
        <v>1205</v>
      </c>
      <c r="J86" s="35"/>
      <c r="K86" s="35"/>
      <c r="L86" s="35"/>
      <c r="M86" s="35"/>
      <c r="N86" s="35"/>
      <c r="O86" s="35"/>
      <c r="P86" s="35">
        <v>1500</v>
      </c>
      <c r="Q86" s="35"/>
      <c r="R86" s="148"/>
      <c r="S86" s="35"/>
      <c r="T86" s="35">
        <v>1294</v>
      </c>
      <c r="U86" s="35">
        <v>1205</v>
      </c>
      <c r="V86" s="35">
        <v>1478</v>
      </c>
      <c r="W86" s="32">
        <f t="shared" si="11"/>
        <v>0.14219474497681617</v>
      </c>
      <c r="X86" s="32">
        <f t="shared" si="12"/>
        <v>0.22655601659751046</v>
      </c>
    </row>
    <row r="87" spans="2:25" x14ac:dyDescent="0.3">
      <c r="B87" s="12" t="s">
        <v>88</v>
      </c>
      <c r="D87" s="31">
        <f t="shared" ref="D87:P87" si="119">D70/$C$6</f>
        <v>289.47800000000001</v>
      </c>
      <c r="E87" s="31">
        <f t="shared" si="119"/>
        <v>426.56799999999998</v>
      </c>
      <c r="F87" s="31">
        <f t="shared" si="119"/>
        <v>584.298</v>
      </c>
      <c r="G87" s="31">
        <f t="shared" si="119"/>
        <v>863.34400000000005</v>
      </c>
      <c r="H87" s="31">
        <f t="shared" si="119"/>
        <v>1090.414</v>
      </c>
      <c r="I87" s="31">
        <f t="shared" si="119"/>
        <v>1293.7860000000001</v>
      </c>
      <c r="J87" s="31">
        <f t="shared" si="119"/>
        <v>1587.1319490355374</v>
      </c>
      <c r="K87" s="31">
        <f t="shared" si="119"/>
        <v>1803.7635249225891</v>
      </c>
      <c r="L87" s="31">
        <f t="shared" si="119"/>
        <v>2136.0704573687231</v>
      </c>
      <c r="M87" s="31">
        <f t="shared" si="119"/>
        <v>2486.468250909033</v>
      </c>
      <c r="N87" s="31">
        <f t="shared" si="119"/>
        <v>2894.2558907736484</v>
      </c>
      <c r="O87" s="31">
        <f t="shared" si="119"/>
        <v>0</v>
      </c>
      <c r="P87" s="31">
        <f t="shared" si="119"/>
        <v>1499.5440000000001</v>
      </c>
      <c r="Q87" s="31">
        <v>1587.1319490355374</v>
      </c>
      <c r="R87" s="148">
        <f t="shared" si="112"/>
        <v>5.8409722579355616E-2</v>
      </c>
      <c r="T87" s="31">
        <f>T70/$C$6</f>
        <v>323.49</v>
      </c>
      <c r="U87" s="31">
        <f>U70/$C$6</f>
        <v>1293.7860000000001</v>
      </c>
      <c r="V87" s="31">
        <f>V70/$C$6</f>
        <v>369.50799999999998</v>
      </c>
      <c r="W87" s="32">
        <f>V87/T87-1</f>
        <v>0.14225478376456757</v>
      </c>
      <c r="X87" s="32">
        <f>V87/U87-1</f>
        <v>-0.71439789887972205</v>
      </c>
    </row>
    <row r="88" spans="2:25" s="39" customFormat="1" x14ac:dyDescent="0.3">
      <c r="E88" s="39">
        <f>E87/D87-1</f>
        <v>0.47357657576741574</v>
      </c>
      <c r="F88" s="39">
        <f t="shared" ref="F88:N88" si="120">F87/E87-1</f>
        <v>0.36976519570150601</v>
      </c>
      <c r="G88" s="39">
        <f t="shared" si="120"/>
        <v>0.47757479916070222</v>
      </c>
      <c r="H88" s="39">
        <f t="shared" si="120"/>
        <v>0.26301219444392965</v>
      </c>
      <c r="I88" s="39">
        <f t="shared" si="120"/>
        <v>0.18650897732420901</v>
      </c>
      <c r="J88" s="39">
        <f t="shared" si="120"/>
        <v>0.22673452103789749</v>
      </c>
      <c r="K88" s="39">
        <f t="shared" si="120"/>
        <v>0.13649248004785841</v>
      </c>
      <c r="L88" s="39">
        <f t="shared" si="120"/>
        <v>0.1842297661831227</v>
      </c>
      <c r="M88" s="39">
        <f t="shared" si="120"/>
        <v>0.164038499915373</v>
      </c>
      <c r="N88" s="39">
        <f t="shared" si="120"/>
        <v>0.16400275359057237</v>
      </c>
      <c r="Q88" s="39">
        <v>0.22673452103789749</v>
      </c>
      <c r="R88" s="148"/>
      <c r="T88" s="141"/>
      <c r="U88" s="141"/>
      <c r="V88" s="141"/>
      <c r="W88" s="40"/>
      <c r="X88" s="40"/>
    </row>
    <row r="89" spans="2:25" x14ac:dyDescent="0.3">
      <c r="B89" t="s">
        <v>16</v>
      </c>
      <c r="D89" s="35">
        <v>224</v>
      </c>
      <c r="E89" s="35">
        <v>226</v>
      </c>
      <c r="F89" s="35">
        <v>226</v>
      </c>
      <c r="G89" s="35">
        <v>227</v>
      </c>
      <c r="H89" s="35">
        <v>231</v>
      </c>
      <c r="I89" s="35">
        <v>240</v>
      </c>
      <c r="J89" s="41">
        <f>(1+J90)*I89</f>
        <v>244.88055704772398</v>
      </c>
      <c r="K89" s="41">
        <f t="shared" ref="K89:N89" si="121">(1+K90)*J89</f>
        <v>251.15911811039365</v>
      </c>
      <c r="L89" s="41">
        <f t="shared" si="121"/>
        <v>258.26993279299171</v>
      </c>
      <c r="M89" s="41">
        <f t="shared" si="121"/>
        <v>264.66529249317699</v>
      </c>
      <c r="N89" s="41">
        <f t="shared" si="121"/>
        <v>271.60954328129958</v>
      </c>
      <c r="O89" s="35"/>
      <c r="P89" s="35">
        <v>248</v>
      </c>
      <c r="Q89" s="41">
        <v>244.88055704772398</v>
      </c>
      <c r="R89" s="148">
        <f t="shared" si="112"/>
        <v>-1.2578399001113016E-2</v>
      </c>
      <c r="S89" s="35"/>
      <c r="T89" s="35">
        <v>240</v>
      </c>
      <c r="U89" s="35">
        <v>240</v>
      </c>
      <c r="V89" s="35">
        <v>242</v>
      </c>
      <c r="W89" s="32">
        <f t="shared" si="11"/>
        <v>8.3333333333333037E-3</v>
      </c>
      <c r="X89" s="32">
        <f t="shared" si="12"/>
        <v>8.3333333333333037E-3</v>
      </c>
    </row>
    <row r="90" spans="2:25" s="39" customFormat="1" x14ac:dyDescent="0.3">
      <c r="B90" s="39" t="s">
        <v>95</v>
      </c>
      <c r="E90" s="39">
        <f>E89/D89-1</f>
        <v>8.9285714285713969E-3</v>
      </c>
      <c r="F90" s="39">
        <f t="shared" ref="F90:I90" si="122">F89/E89-1</f>
        <v>0</v>
      </c>
      <c r="G90" s="39">
        <f t="shared" si="122"/>
        <v>4.4247787610618428E-3</v>
      </c>
      <c r="H90" s="39">
        <f t="shared" si="122"/>
        <v>1.7621145374449254E-2</v>
      </c>
      <c r="I90" s="39">
        <f t="shared" si="122"/>
        <v>3.8961038961038863E-2</v>
      </c>
      <c r="J90" s="42">
        <f>AVERAGE(G90:I90)</f>
        <v>2.0335654365516653E-2</v>
      </c>
      <c r="K90" s="42">
        <f t="shared" ref="K90:N90" si="123">AVERAGE(H90:J90)</f>
        <v>2.5639279567001589E-2</v>
      </c>
      <c r="L90" s="42">
        <f t="shared" si="123"/>
        <v>2.8311990964519033E-2</v>
      </c>
      <c r="M90" s="42">
        <f t="shared" si="123"/>
        <v>2.4762308299012423E-2</v>
      </c>
      <c r="N90" s="42">
        <f t="shared" si="123"/>
        <v>2.6237859610177678E-2</v>
      </c>
      <c r="Q90" s="42">
        <v>2.0335654365516653E-2</v>
      </c>
      <c r="R90" s="148"/>
      <c r="W90" s="40"/>
      <c r="X90" s="40"/>
    </row>
    <row r="91" spans="2: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148"/>
      <c r="S91" s="35"/>
      <c r="T91" s="35"/>
      <c r="U91" s="35"/>
      <c r="V91" s="35"/>
      <c r="W91" s="32"/>
      <c r="X91" s="32"/>
    </row>
    <row r="92" spans="2:25" x14ac:dyDescent="0.3">
      <c r="B92" s="12" t="s">
        <v>103</v>
      </c>
      <c r="D92" s="35">
        <v>96</v>
      </c>
      <c r="E92" s="35">
        <v>137</v>
      </c>
      <c r="F92" s="35">
        <v>193</v>
      </c>
      <c r="G92" s="35">
        <v>286</v>
      </c>
      <c r="H92" s="35">
        <v>361</v>
      </c>
      <c r="I92" s="35">
        <v>429</v>
      </c>
      <c r="J92" s="41">
        <f>J97/$C$6</f>
        <v>525.66372528943509</v>
      </c>
      <c r="K92" s="41">
        <f t="shared" ref="K92:N92" si="124">K97/$C$6</f>
        <v>597.44246700800807</v>
      </c>
      <c r="L92" s="41">
        <f t="shared" si="124"/>
        <v>707.62698631401599</v>
      </c>
      <c r="M92" s="41">
        <f t="shared" si="124"/>
        <v>823.47762600755277</v>
      </c>
      <c r="N92" s="41">
        <f t="shared" si="124"/>
        <v>958.52950572166594</v>
      </c>
      <c r="O92" s="35"/>
      <c r="P92" s="35">
        <v>1500</v>
      </c>
      <c r="Q92" s="41">
        <v>525.66372528943509</v>
      </c>
      <c r="R92" s="148">
        <f t="shared" si="112"/>
        <v>-0.64955751647370996</v>
      </c>
      <c r="S92" s="35"/>
      <c r="T92" s="35"/>
      <c r="U92" s="35"/>
      <c r="V92" s="35"/>
      <c r="W92" s="52"/>
      <c r="X92" s="52"/>
    </row>
    <row r="93" spans="2:25" s="39" customFormat="1" x14ac:dyDescent="0.3">
      <c r="B93" s="39" t="s">
        <v>95</v>
      </c>
      <c r="E93" s="39">
        <f>E92/D92-1</f>
        <v>0.42708333333333326</v>
      </c>
      <c r="F93" s="39">
        <f t="shared" ref="F93:N93" si="125">F92/E92-1</f>
        <v>0.40875912408759119</v>
      </c>
      <c r="G93" s="39">
        <f t="shared" si="125"/>
        <v>0.4818652849740932</v>
      </c>
      <c r="H93" s="39">
        <f t="shared" si="125"/>
        <v>0.2622377622377623</v>
      </c>
      <c r="I93" s="39">
        <f t="shared" si="125"/>
        <v>0.18836565096952906</v>
      </c>
      <c r="J93" s="39">
        <f t="shared" si="125"/>
        <v>0.22532336897304228</v>
      </c>
      <c r="K93" s="39">
        <f t="shared" si="125"/>
        <v>0.13654878254924463</v>
      </c>
      <c r="L93" s="39">
        <f t="shared" si="125"/>
        <v>0.1844269957202942</v>
      </c>
      <c r="M93" s="39">
        <f t="shared" si="125"/>
        <v>0.1637171022786954</v>
      </c>
      <c r="N93" s="39">
        <f t="shared" si="125"/>
        <v>0.16400188110620806</v>
      </c>
      <c r="Q93" s="39">
        <v>0.22532336897304228</v>
      </c>
      <c r="R93" s="148"/>
      <c r="V93"/>
      <c r="W93"/>
      <c r="X93"/>
      <c r="Y93"/>
    </row>
    <row r="94" spans="2:25" s="39" customFormat="1" x14ac:dyDescent="0.3">
      <c r="B94" s="39" t="s">
        <v>105</v>
      </c>
      <c r="D94" s="39">
        <f>D92/$C$4</f>
        <v>1.0596026490066225E-2</v>
      </c>
      <c r="E94" s="39">
        <f t="shared" ref="E94:H94" si="126">E92/$C$4</f>
        <v>1.5121412803532009E-2</v>
      </c>
      <c r="F94" s="39">
        <f t="shared" si="126"/>
        <v>2.1302428256070639E-2</v>
      </c>
      <c r="G94" s="39">
        <f t="shared" si="126"/>
        <v>3.1567328918322299E-2</v>
      </c>
      <c r="H94" s="39">
        <f t="shared" si="126"/>
        <v>3.9845474613686531E-2</v>
      </c>
      <c r="I94" s="39">
        <f>I92/$C$4</f>
        <v>4.7350993377483441E-2</v>
      </c>
      <c r="J94" s="39">
        <f t="shared" ref="J94:N94" si="127">J92/$C$4</f>
        <v>5.8020278729518225E-2</v>
      </c>
      <c r="K94" s="39">
        <f t="shared" si="127"/>
        <v>6.5942877153201768E-2</v>
      </c>
      <c r="L94" s="39">
        <f t="shared" si="127"/>
        <v>7.8104523875719201E-2</v>
      </c>
      <c r="M94" s="39">
        <f t="shared" si="127"/>
        <v>9.0891570199509136E-2</v>
      </c>
      <c r="N94" s="39">
        <f t="shared" si="127"/>
        <v>0.10579795868892559</v>
      </c>
      <c r="Q94" s="39">
        <v>5.8020278729518225E-2</v>
      </c>
      <c r="R94" s="148"/>
      <c r="V94"/>
      <c r="W94"/>
      <c r="X94"/>
      <c r="Y94"/>
    </row>
    <row r="95" spans="2:25" s="39" customFormat="1" x14ac:dyDescent="0.3">
      <c r="B95" s="39" t="s">
        <v>106</v>
      </c>
      <c r="D95" s="39">
        <f>D97/D77</f>
        <v>0.33124693769107083</v>
      </c>
      <c r="E95" s="39">
        <f t="shared" ref="E95:G95" si="128">E97/E77</f>
        <v>0.32155548357719915</v>
      </c>
      <c r="F95" s="39">
        <f t="shared" si="128"/>
        <v>0.33056888678786384</v>
      </c>
      <c r="G95" s="39">
        <f t="shared" si="128"/>
        <v>0.33087069897013605</v>
      </c>
      <c r="H95" s="39">
        <f>H97/H77</f>
        <v>0.33078539999376916</v>
      </c>
      <c r="I95" s="39">
        <f>I97/I77</f>
        <v>0.33132888369197688</v>
      </c>
      <c r="J95" s="42">
        <f>AVERAGE(G95:I95)</f>
        <v>0.33099499421862738</v>
      </c>
      <c r="K95" s="42">
        <f t="shared" ref="K95:N95" si="129">AVERAGE(H95:J95)</f>
        <v>0.33103642596812449</v>
      </c>
      <c r="L95" s="42">
        <f t="shared" si="129"/>
        <v>0.33112010129290953</v>
      </c>
      <c r="M95" s="42">
        <f t="shared" si="129"/>
        <v>0.3310505071598871</v>
      </c>
      <c r="N95" s="42">
        <f t="shared" si="129"/>
        <v>0.33106901147364037</v>
      </c>
      <c r="Q95" s="42">
        <v>0.33099499421862738</v>
      </c>
      <c r="R95" s="148"/>
      <c r="V95"/>
      <c r="W95"/>
      <c r="X95"/>
      <c r="Y95"/>
    </row>
    <row r="96" spans="2:25" x14ac:dyDescent="0.3">
      <c r="B96" s="39" t="s">
        <v>107</v>
      </c>
      <c r="C96" s="39"/>
      <c r="D96" s="39">
        <f>1-D95</f>
        <v>0.66875306230892917</v>
      </c>
      <c r="E96" s="39">
        <f t="shared" ref="E96:I96" si="130">1-E95</f>
        <v>0.67844451642280079</v>
      </c>
      <c r="F96" s="39">
        <f t="shared" si="130"/>
        <v>0.66943111321213622</v>
      </c>
      <c r="G96" s="39">
        <f t="shared" si="130"/>
        <v>0.66912930102986401</v>
      </c>
      <c r="H96" s="39">
        <f t="shared" si="130"/>
        <v>0.6692146000062309</v>
      </c>
      <c r="I96" s="39">
        <f t="shared" si="130"/>
        <v>0.66867111630802312</v>
      </c>
      <c r="J96" s="39">
        <f t="shared" ref="J96" si="131">1-J95</f>
        <v>0.66900500578137256</v>
      </c>
      <c r="K96" s="39">
        <f t="shared" ref="K96" si="132">1-K95</f>
        <v>0.66896357403187556</v>
      </c>
      <c r="L96" s="39">
        <f t="shared" ref="L96" si="133">1-L95</f>
        <v>0.66887989870709053</v>
      </c>
      <c r="M96" s="39">
        <f t="shared" ref="M96" si="134">1-M95</f>
        <v>0.66894949284011296</v>
      </c>
      <c r="N96" s="39">
        <f t="shared" ref="N96" si="135">1-N95</f>
        <v>0.66893098852635968</v>
      </c>
      <c r="O96" s="35"/>
      <c r="P96" s="35"/>
      <c r="Q96" s="39">
        <v>0.66900500578137256</v>
      </c>
      <c r="R96" s="148"/>
      <c r="S96" s="35"/>
      <c r="T96" s="35"/>
      <c r="U96" s="35"/>
    </row>
    <row r="97" spans="1:30" x14ac:dyDescent="0.3">
      <c r="B97" s="54" t="s">
        <v>108</v>
      </c>
      <c r="C97" s="39"/>
      <c r="D97" s="41">
        <f>D92*$C$6</f>
        <v>48000</v>
      </c>
      <c r="E97" s="41">
        <f t="shared" ref="E97:I97" si="136">E92*$C$6</f>
        <v>68500</v>
      </c>
      <c r="F97" s="41">
        <f t="shared" si="136"/>
        <v>96500</v>
      </c>
      <c r="G97" s="41">
        <f t="shared" si="136"/>
        <v>143000</v>
      </c>
      <c r="H97" s="41">
        <f t="shared" si="136"/>
        <v>180500</v>
      </c>
      <c r="I97" s="41">
        <f t="shared" si="136"/>
        <v>214500</v>
      </c>
      <c r="J97" s="41">
        <f>J77*J95</f>
        <v>262831.86264471756</v>
      </c>
      <c r="K97" s="41">
        <f t="shared" ref="K97:P97" si="137">K77*K95</f>
        <v>298721.23350400402</v>
      </c>
      <c r="L97" s="41">
        <f t="shared" si="137"/>
        <v>353813.49315700802</v>
      </c>
      <c r="M97" s="41">
        <f t="shared" si="137"/>
        <v>411738.81300377636</v>
      </c>
      <c r="N97" s="41">
        <f t="shared" si="137"/>
        <v>479264.75286083296</v>
      </c>
      <c r="O97" s="35"/>
      <c r="P97" s="35"/>
      <c r="Q97" s="41">
        <v>262831.86264471756</v>
      </c>
      <c r="R97" s="148"/>
      <c r="S97" s="35"/>
      <c r="T97" s="35"/>
      <c r="U97" s="35"/>
    </row>
    <row r="98" spans="1:30" x14ac:dyDescent="0.3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Q98" s="39"/>
      <c r="R98" s="148"/>
    </row>
    <row r="99" spans="1:30" x14ac:dyDescent="0.3">
      <c r="A99" s="5"/>
      <c r="B99" s="18" t="s">
        <v>17</v>
      </c>
      <c r="C99" s="18"/>
      <c r="D99" s="19">
        <v>43830</v>
      </c>
      <c r="E99" s="19">
        <f>EOMONTH(D99,12)</f>
        <v>44196</v>
      </c>
      <c r="F99" s="19">
        <f t="shared" ref="F99:I99" si="138">EOMONTH(E99,12)</f>
        <v>44561</v>
      </c>
      <c r="G99" s="19">
        <f t="shared" si="138"/>
        <v>44926</v>
      </c>
      <c r="H99" s="19">
        <f t="shared" si="138"/>
        <v>45291</v>
      </c>
      <c r="I99" s="19">
        <f t="shared" si="138"/>
        <v>45657</v>
      </c>
      <c r="J99" s="20">
        <v>46022</v>
      </c>
      <c r="K99" s="20">
        <v>46387</v>
      </c>
      <c r="L99" s="20">
        <v>46752</v>
      </c>
      <c r="M99" s="20">
        <v>47118</v>
      </c>
      <c r="N99" s="20">
        <v>47483</v>
      </c>
      <c r="Q99" s="20">
        <v>46022</v>
      </c>
      <c r="R99" s="148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3">
      <c r="A100" s="5"/>
      <c r="B100" s="21" t="s">
        <v>18</v>
      </c>
      <c r="C100" s="21"/>
      <c r="D100" s="22">
        <v>2019</v>
      </c>
      <c r="E100" s="22">
        <v>2020</v>
      </c>
      <c r="F100" s="22">
        <v>2021</v>
      </c>
      <c r="G100" s="22">
        <v>2022</v>
      </c>
      <c r="H100" s="22">
        <v>2023</v>
      </c>
      <c r="I100" s="22">
        <v>2024</v>
      </c>
      <c r="J100" s="22">
        <v>2025</v>
      </c>
      <c r="K100" s="22">
        <v>2026</v>
      </c>
      <c r="L100" s="22">
        <v>2027</v>
      </c>
      <c r="M100" s="22">
        <v>2028</v>
      </c>
      <c r="N100" s="22">
        <v>2029</v>
      </c>
      <c r="Q100" s="22">
        <v>2025</v>
      </c>
      <c r="R100" s="148"/>
      <c r="S100" s="5"/>
      <c r="T100" s="23" t="s">
        <v>20</v>
      </c>
      <c r="U100" s="23" t="s">
        <v>19</v>
      </c>
      <c r="V100" s="23" t="s">
        <v>21</v>
      </c>
      <c r="W100" s="23" t="s">
        <v>77</v>
      </c>
      <c r="X100" s="23" t="s">
        <v>78</v>
      </c>
      <c r="Z100" s="5"/>
      <c r="AA100" s="24"/>
      <c r="AB100" s="24"/>
      <c r="AC100" s="5"/>
      <c r="AD100" s="5"/>
    </row>
    <row r="101" spans="1:30" ht="18.600000000000001" thickBot="1" x14ac:dyDescent="0.4">
      <c r="A101" s="5"/>
      <c r="B101" s="25" t="s">
        <v>87</v>
      </c>
      <c r="C101" s="25" t="s">
        <v>165</v>
      </c>
      <c r="D101" s="25"/>
      <c r="E101" s="25"/>
      <c r="F101" s="25"/>
      <c r="G101" s="26"/>
      <c r="H101" s="25"/>
      <c r="I101" s="26"/>
      <c r="J101" s="25"/>
      <c r="K101" s="25"/>
      <c r="L101" s="25"/>
      <c r="M101" s="25"/>
      <c r="N101" s="25"/>
      <c r="O101" s="25"/>
      <c r="P101" s="25"/>
      <c r="Q101" s="25"/>
      <c r="R101" s="148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6.2" thickTop="1" x14ac:dyDescent="0.3">
      <c r="B102" s="135" t="s">
        <v>22</v>
      </c>
      <c r="R102" s="148"/>
    </row>
    <row r="103" spans="1:30" outlineLevel="1" x14ac:dyDescent="0.3">
      <c r="B103" t="s">
        <v>23</v>
      </c>
      <c r="D103" s="35">
        <v>498231</v>
      </c>
      <c r="E103" s="35">
        <v>661689</v>
      </c>
      <c r="F103" s="35">
        <v>484254</v>
      </c>
      <c r="G103" s="35">
        <v>474868</v>
      </c>
      <c r="H103" s="35">
        <v>549108</v>
      </c>
      <c r="I103" s="35">
        <v>603717</v>
      </c>
      <c r="J103" s="41">
        <f>411369</f>
        <v>411369</v>
      </c>
      <c r="K103" s="41">
        <v>899842</v>
      </c>
      <c r="L103" s="41">
        <v>1562199</v>
      </c>
      <c r="M103" s="41">
        <v>2149564</v>
      </c>
      <c r="N103" s="41">
        <v>3009212</v>
      </c>
      <c r="O103" s="35"/>
      <c r="P103" s="35">
        <v>704480</v>
      </c>
      <c r="Q103" s="41">
        <v>411369</v>
      </c>
      <c r="R103" s="148">
        <f t="shared" si="112"/>
        <v>-0.4160671701112878</v>
      </c>
      <c r="S103" s="35"/>
      <c r="T103" s="35">
        <v>553932</v>
      </c>
      <c r="U103" s="35">
        <v>603717</v>
      </c>
      <c r="V103" s="35">
        <v>650820</v>
      </c>
      <c r="W103" s="32">
        <f>V103/T103-1</f>
        <v>0.17490955568553535</v>
      </c>
      <c r="X103" s="32">
        <f>V103/U103-1</f>
        <v>7.8021655842058557E-2</v>
      </c>
    </row>
    <row r="104" spans="1:30" s="39" customFormat="1" outlineLevel="1" x14ac:dyDescent="0.3">
      <c r="B104" s="39" t="s">
        <v>95</v>
      </c>
      <c r="E104" s="39">
        <f>E103/D103-1</f>
        <v>0.32807673549016414</v>
      </c>
      <c r="F104" s="39">
        <f t="shared" ref="F104:I104" si="139">F103/E103-1</f>
        <v>-0.2681546768950368</v>
      </c>
      <c r="G104" s="39">
        <f t="shared" si="139"/>
        <v>-1.9382390233224744E-2</v>
      </c>
      <c r="H104" s="39">
        <f t="shared" si="139"/>
        <v>0.15633818240016173</v>
      </c>
      <c r="I104" s="39">
        <f t="shared" si="139"/>
        <v>9.9450381345746131E-2</v>
      </c>
      <c r="J104" s="39">
        <f t="shared" ref="J104" si="140">J103/I103-1</f>
        <v>-0.31860623437802815</v>
      </c>
      <c r="K104" s="39">
        <f t="shared" ref="K104" si="141">K103/J103-1</f>
        <v>1.1874326942477436</v>
      </c>
      <c r="L104" s="39">
        <f t="shared" ref="L104" si="142">L103/K103-1</f>
        <v>0.7360814454093052</v>
      </c>
      <c r="M104" s="39">
        <f t="shared" ref="M104" si="143">M103/L103-1</f>
        <v>0.37598602994880936</v>
      </c>
      <c r="N104" s="39">
        <f t="shared" ref="N104" si="144">N103/M103-1</f>
        <v>0.39991737859398468</v>
      </c>
      <c r="Q104" s="39">
        <v>-0.31860623437802815</v>
      </c>
      <c r="R104" s="148"/>
      <c r="W104" s="40"/>
      <c r="X104" s="40"/>
    </row>
    <row r="105" spans="1:30" s="39" customFormat="1" outlineLevel="1" x14ac:dyDescent="0.3">
      <c r="J105" s="140">
        <f>J132-J169</f>
        <v>0.64094125293195248</v>
      </c>
      <c r="K105" s="140">
        <f t="shared" ref="K105:N105" si="145">K132-K169</f>
        <v>43617.449821252376</v>
      </c>
      <c r="L105" s="140">
        <f t="shared" si="145"/>
        <v>109182.39749567211</v>
      </c>
      <c r="M105" s="140">
        <f t="shared" si="145"/>
        <v>206761.16180582345</v>
      </c>
      <c r="N105" s="140">
        <f t="shared" si="145"/>
        <v>353720.90307322517</v>
      </c>
      <c r="Q105" s="140">
        <v>0.64094125293195248</v>
      </c>
      <c r="R105" s="148"/>
      <c r="W105" s="40"/>
      <c r="X105" s="40"/>
    </row>
    <row r="106" spans="1:30" outlineLevel="1" x14ac:dyDescent="0.3">
      <c r="B106" t="s">
        <v>24</v>
      </c>
      <c r="D106" s="35">
        <v>842909</v>
      </c>
      <c r="E106" s="35">
        <v>385799</v>
      </c>
      <c r="F106" s="35">
        <v>999775</v>
      </c>
      <c r="G106" s="35">
        <v>1076453</v>
      </c>
      <c r="H106" s="35">
        <v>791826</v>
      </c>
      <c r="I106" s="35">
        <v>846853</v>
      </c>
      <c r="J106" s="41">
        <f>J108*J151</f>
        <v>1374470.1891580576</v>
      </c>
      <c r="K106" s="41">
        <f>K108*K151</f>
        <v>1395800.5446020854</v>
      </c>
      <c r="L106" s="41">
        <f>L108*L151</f>
        <v>1582973.3436742059</v>
      </c>
      <c r="M106" s="41">
        <f>M108*M151</f>
        <v>1840273.7984709316</v>
      </c>
      <c r="N106" s="41">
        <f>N108*N151</f>
        <v>2027370.1328726334</v>
      </c>
      <c r="O106" s="35"/>
      <c r="P106" s="35">
        <v>1036059</v>
      </c>
      <c r="Q106" s="41">
        <v>1374470.1891580576</v>
      </c>
      <c r="R106" s="148">
        <f t="shared" si="112"/>
        <v>0.32663312529311317</v>
      </c>
      <c r="S106" s="35"/>
      <c r="T106" s="35">
        <v>1013306</v>
      </c>
      <c r="U106" s="35">
        <v>846853</v>
      </c>
      <c r="V106" s="35">
        <v>1016988</v>
      </c>
      <c r="W106" s="32">
        <f t="shared" ref="W106:W120" si="146">V106/T106-1</f>
        <v>3.6336506445240335E-3</v>
      </c>
      <c r="X106" s="32">
        <f t="shared" ref="X106:X119" si="147">V106/U106-1</f>
        <v>0.20090263599467684</v>
      </c>
    </row>
    <row r="107" spans="1:30" s="39" customFormat="1" outlineLevel="1" x14ac:dyDescent="0.3">
      <c r="B107" s="39" t="s">
        <v>95</v>
      </c>
      <c r="E107" s="39">
        <f>E106/D106-1</f>
        <v>-0.54230053303500148</v>
      </c>
      <c r="F107" s="39">
        <f t="shared" ref="F107:I107" si="148">F106/E106-1</f>
        <v>1.5914401022293991</v>
      </c>
      <c r="G107" s="39">
        <f t="shared" si="148"/>
        <v>7.6695256432697256E-2</v>
      </c>
      <c r="H107" s="39">
        <f t="shared" si="148"/>
        <v>-0.26441191580124723</v>
      </c>
      <c r="I107" s="39">
        <f t="shared" si="148"/>
        <v>6.949380293145202E-2</v>
      </c>
      <c r="J107" s="39">
        <f t="shared" ref="J107" si="149">J106/I106-1</f>
        <v>0.62303279218241836</v>
      </c>
      <c r="K107" s="39">
        <f t="shared" ref="K107" si="150">K106/J106-1</f>
        <v>1.5518965498330539E-2</v>
      </c>
      <c r="L107" s="39">
        <f t="shared" ref="L107" si="151">L106/K106-1</f>
        <v>0.13409709560292504</v>
      </c>
      <c r="M107" s="39">
        <f t="shared" ref="M107" si="152">M106/L106-1</f>
        <v>0.1625425063693815</v>
      </c>
      <c r="N107" s="39">
        <f t="shared" ref="N107" si="153">N106/M106-1</f>
        <v>0.10166766193006649</v>
      </c>
      <c r="Q107" s="39">
        <v>0.62303279218241836</v>
      </c>
      <c r="R107" s="148"/>
      <c r="W107" s="40"/>
      <c r="X107" s="40"/>
    </row>
    <row r="108" spans="1:30" s="39" customFormat="1" outlineLevel="1" x14ac:dyDescent="0.3">
      <c r="B108" s="39" t="s">
        <v>180</v>
      </c>
      <c r="D108" s="39">
        <f>D106/D138</f>
        <v>0.17265214334010021</v>
      </c>
      <c r="E108" s="39">
        <f t="shared" ref="E108:I108" si="154">E106/E138</f>
        <v>7.35139071790194E-2</v>
      </c>
      <c r="F108" s="39">
        <f t="shared" si="154"/>
        <v>0.15365594408861671</v>
      </c>
      <c r="G108" s="39">
        <f t="shared" si="154"/>
        <v>0.14479348843390497</v>
      </c>
      <c r="H108" s="39">
        <f t="shared" si="154"/>
        <v>9.4920050045366647E-2</v>
      </c>
      <c r="I108" s="39">
        <f t="shared" si="154"/>
        <v>8.9772767627854314E-2</v>
      </c>
      <c r="J108" s="42">
        <f>AVERAGE(G108:I108)</f>
        <v>0.1098287687023753</v>
      </c>
      <c r="K108" s="42">
        <f t="shared" ref="K108:N108" si="155">AVERAGE(H108:J108)</f>
        <v>9.8173862125198755E-2</v>
      </c>
      <c r="L108" s="42">
        <f t="shared" si="155"/>
        <v>9.9258466151809457E-2</v>
      </c>
      <c r="M108" s="42">
        <f t="shared" si="155"/>
        <v>0.10242036565979451</v>
      </c>
      <c r="N108" s="42">
        <f t="shared" si="155"/>
        <v>9.9950897978934236E-2</v>
      </c>
      <c r="Q108" s="42">
        <v>0.1098287687023753</v>
      </c>
      <c r="R108" s="148"/>
      <c r="W108" s="40"/>
      <c r="X108" s="40"/>
    </row>
    <row r="109" spans="1:30" outlineLevel="1" x14ac:dyDescent="0.3">
      <c r="B109" s="39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148"/>
      <c r="S109" s="35"/>
      <c r="T109" s="35"/>
      <c r="U109" s="35"/>
      <c r="V109" s="35"/>
      <c r="W109" s="32"/>
      <c r="X109" s="32"/>
    </row>
    <row r="110" spans="1:30" outlineLevel="1" x14ac:dyDescent="0.3">
      <c r="B110" t="s">
        <v>25</v>
      </c>
      <c r="D110" s="35">
        <v>761554</v>
      </c>
      <c r="E110" s="35">
        <v>1304253</v>
      </c>
      <c r="F110" s="35">
        <v>1739280</v>
      </c>
      <c r="G110" s="35">
        <v>1944032</v>
      </c>
      <c r="H110" s="35">
        <v>2273605</v>
      </c>
      <c r="I110" s="35">
        <v>2268763</v>
      </c>
      <c r="J110" s="41">
        <f>J112*J151</f>
        <v>2842582.3043207773</v>
      </c>
      <c r="K110" s="41">
        <f>K112*K151</f>
        <v>3180072.6336738775</v>
      </c>
      <c r="L110" s="41">
        <f>L112*L151</f>
        <v>3512956.2532152585</v>
      </c>
      <c r="M110" s="41">
        <f>M112*M151</f>
        <v>4019329.0753253722</v>
      </c>
      <c r="N110" s="41">
        <f>N112*N151</f>
        <v>4514076.6389008993</v>
      </c>
      <c r="O110" s="35"/>
      <c r="P110" s="35">
        <v>2536323</v>
      </c>
      <c r="Q110" s="41">
        <v>2842582.3043207773</v>
      </c>
      <c r="R110" s="148">
        <f t="shared" si="112"/>
        <v>0.12074933055481396</v>
      </c>
      <c r="S110" s="35"/>
      <c r="T110" s="35">
        <v>2172575</v>
      </c>
      <c r="U110" s="35">
        <v>2268763</v>
      </c>
      <c r="V110" s="35">
        <v>2377581</v>
      </c>
      <c r="W110" s="32">
        <f t="shared" si="146"/>
        <v>9.4360839096463867E-2</v>
      </c>
      <c r="X110" s="32">
        <f t="shared" si="147"/>
        <v>4.7963581916665499E-2</v>
      </c>
    </row>
    <row r="111" spans="1:30" s="39" customFormat="1" outlineLevel="1" x14ac:dyDescent="0.3">
      <c r="B111" s="39" t="s">
        <v>95</v>
      </c>
      <c r="E111" s="39">
        <f>E110/D110-1</f>
        <v>0.71262051016736838</v>
      </c>
      <c r="F111" s="39">
        <f t="shared" ref="F111:I111" si="156">F110/E110-1</f>
        <v>0.33354494871777174</v>
      </c>
      <c r="G111" s="39">
        <f t="shared" si="156"/>
        <v>0.11772227588427397</v>
      </c>
      <c r="H111" s="39">
        <f t="shared" si="156"/>
        <v>0.169530645586081</v>
      </c>
      <c r="I111" s="39">
        <f t="shared" si="156"/>
        <v>-2.1296575262633732E-3</v>
      </c>
      <c r="J111" s="39">
        <f t="shared" ref="J111" si="157">J110/I110-1</f>
        <v>0.25292166009441153</v>
      </c>
      <c r="K111" s="39">
        <f t="shared" ref="K111" si="158">K110/J110-1</f>
        <v>0.11872666935276022</v>
      </c>
      <c r="L111" s="39">
        <f t="shared" ref="L111" si="159">L110/K110-1</f>
        <v>0.10467799257679444</v>
      </c>
      <c r="M111" s="39">
        <f t="shared" ref="M111" si="160">M110/L110-1</f>
        <v>0.14414435751844401</v>
      </c>
      <c r="N111" s="39">
        <f t="shared" ref="N111" si="161">N110/M110-1</f>
        <v>0.1230920768873538</v>
      </c>
      <c r="Q111" s="39">
        <v>0.25292166009441153</v>
      </c>
      <c r="R111" s="148"/>
      <c r="W111" s="40"/>
      <c r="X111" s="40"/>
    </row>
    <row r="112" spans="1:30" s="39" customFormat="1" outlineLevel="1" x14ac:dyDescent="0.3">
      <c r="B112" s="39" t="s">
        <v>179</v>
      </c>
      <c r="D112" s="39">
        <f>D110/SUM(D138,D147)</f>
        <v>0.14562470384731735</v>
      </c>
      <c r="E112" s="39">
        <f t="shared" ref="E112:I112" si="162">E110/SUM(E138,E147)</f>
        <v>0.2340847419815055</v>
      </c>
      <c r="F112" s="39">
        <f t="shared" si="162"/>
        <v>0.24844028472758173</v>
      </c>
      <c r="G112" s="39">
        <f t="shared" si="162"/>
        <v>0.23754764927009064</v>
      </c>
      <c r="H112" s="39">
        <f t="shared" si="162"/>
        <v>0.23385647152338807</v>
      </c>
      <c r="I112" s="39">
        <f t="shared" si="162"/>
        <v>0.21001621894473829</v>
      </c>
      <c r="J112" s="42">
        <f>AVERAGE(G112:I112)</f>
        <v>0.22714011324607233</v>
      </c>
      <c r="K112" s="42">
        <f t="shared" ref="K112:N112" si="163">AVERAGE(H112:J112)</f>
        <v>0.22367093457139955</v>
      </c>
      <c r="L112" s="42">
        <f t="shared" si="163"/>
        <v>0.22027575558740339</v>
      </c>
      <c r="M112" s="42">
        <f t="shared" si="163"/>
        <v>0.22369560113495843</v>
      </c>
      <c r="N112" s="42">
        <f t="shared" si="163"/>
        <v>0.2225474304312538</v>
      </c>
      <c r="Q112" s="42">
        <v>0.22714011324607233</v>
      </c>
      <c r="R112" s="148"/>
      <c r="W112" s="40"/>
      <c r="X112" s="40"/>
    </row>
    <row r="113" spans="2:24" outlineLevel="1" x14ac:dyDescent="0.3">
      <c r="B113" s="39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148"/>
      <c r="S113" s="35"/>
      <c r="T113" s="35"/>
      <c r="U113" s="35"/>
      <c r="V113" s="35"/>
      <c r="W113" s="32"/>
      <c r="X113" s="32"/>
    </row>
    <row r="114" spans="2:24" outlineLevel="1" x14ac:dyDescent="0.3">
      <c r="B114" t="s">
        <v>26</v>
      </c>
      <c r="D114" s="35">
        <v>264326</v>
      </c>
      <c r="E114" s="35">
        <v>170829</v>
      </c>
      <c r="F114" s="35">
        <v>337255</v>
      </c>
      <c r="G114" s="35">
        <v>186941</v>
      </c>
      <c r="H114" s="35">
        <v>220936</v>
      </c>
      <c r="I114" s="35">
        <v>171173</v>
      </c>
      <c r="J114" s="41">
        <f>J116*J151</f>
        <v>256187.78421859044</v>
      </c>
      <c r="K114" s="41">
        <f>K116*K151</f>
        <v>279808.32237129903</v>
      </c>
      <c r="L114" s="41">
        <f>L116*L151</f>
        <v>297677.88882295496</v>
      </c>
      <c r="M114" s="41">
        <f>M116*M151</f>
        <v>352271.14855950908</v>
      </c>
      <c r="N114" s="41">
        <f>N116*N151</f>
        <v>391823.13417489605</v>
      </c>
      <c r="O114" s="35"/>
      <c r="P114" s="35">
        <v>410823</v>
      </c>
      <c r="Q114" s="41">
        <v>256187.78421859044</v>
      </c>
      <c r="R114" s="148">
        <f t="shared" si="112"/>
        <v>-0.37640350170611081</v>
      </c>
      <c r="S114" s="35"/>
      <c r="T114" s="35">
        <v>292433</v>
      </c>
      <c r="U114" s="35">
        <v>171173</v>
      </c>
      <c r="V114" s="35">
        <v>212888</v>
      </c>
      <c r="W114" s="32">
        <f t="shared" si="146"/>
        <v>-0.27201102474754901</v>
      </c>
      <c r="X114" s="32">
        <f t="shared" si="147"/>
        <v>0.24370081730179405</v>
      </c>
    </row>
    <row r="115" spans="2:24" s="39" customFormat="1" outlineLevel="1" x14ac:dyDescent="0.3">
      <c r="B115" s="39" t="s">
        <v>95</v>
      </c>
      <c r="E115" s="39">
        <f>E114/D114-1</f>
        <v>-0.35371851425890755</v>
      </c>
      <c r="F115" s="39">
        <f t="shared" ref="F115:I115" si="164">F114/E114-1</f>
        <v>0.97422568767598006</v>
      </c>
      <c r="G115" s="39">
        <f t="shared" si="164"/>
        <v>-0.44569835880861663</v>
      </c>
      <c r="H115" s="39">
        <f t="shared" si="164"/>
        <v>0.18184881861121949</v>
      </c>
      <c r="I115" s="39">
        <f t="shared" si="164"/>
        <v>-0.22523717275591126</v>
      </c>
      <c r="J115" s="39">
        <f t="shared" ref="J115" si="165">J114/I114-1</f>
        <v>0.49666001190953279</v>
      </c>
      <c r="K115" s="39">
        <f t="shared" ref="K115" si="166">K114/J114-1</f>
        <v>9.2200095429040951E-2</v>
      </c>
      <c r="L115" s="39">
        <f t="shared" ref="L115" si="167">L114/K114-1</f>
        <v>6.386359883872017E-2</v>
      </c>
      <c r="M115" s="39">
        <f t="shared" ref="M115" si="168">M114/L114-1</f>
        <v>0.18339709392733461</v>
      </c>
      <c r="N115" s="39">
        <f t="shared" ref="N115" si="169">N114/M114-1</f>
        <v>0.11227710749836062</v>
      </c>
      <c r="Q115" s="39">
        <v>0.49666001190953279</v>
      </c>
      <c r="R115" s="148"/>
      <c r="W115" s="40"/>
      <c r="X115" s="40"/>
    </row>
    <row r="116" spans="2:24" s="39" customFormat="1" outlineLevel="1" x14ac:dyDescent="0.3">
      <c r="B116" s="39" t="s">
        <v>178</v>
      </c>
      <c r="D116" s="39">
        <f>D114/SUM(D138,D147)</f>
        <v>5.054453849516384E-2</v>
      </c>
      <c r="E116" s="39">
        <f t="shared" ref="E116:I116" si="170">E114/SUM(E138+E147)</f>
        <v>3.0660050149747483E-2</v>
      </c>
      <c r="F116" s="39">
        <f t="shared" si="170"/>
        <v>4.8173800782967999E-2</v>
      </c>
      <c r="G116" s="39">
        <f t="shared" si="170"/>
        <v>2.2842934222379065E-2</v>
      </c>
      <c r="H116" s="39">
        <f t="shared" si="170"/>
        <v>2.2724841558886114E-2</v>
      </c>
      <c r="I116" s="39">
        <f t="shared" si="170"/>
        <v>1.5845245292446894E-2</v>
      </c>
      <c r="J116" s="42">
        <f>AVERAGE(G116:I116)</f>
        <v>2.0471007024570692E-2</v>
      </c>
      <c r="K116" s="42">
        <f t="shared" ref="K116:N116" si="171">AVERAGE(H116:J116)</f>
        <v>1.9680364625301233E-2</v>
      </c>
      <c r="L116" s="42">
        <f t="shared" si="171"/>
        <v>1.8665538980772941E-2</v>
      </c>
      <c r="M116" s="42">
        <f t="shared" si="171"/>
        <v>1.9605636876881622E-2</v>
      </c>
      <c r="N116" s="42">
        <f t="shared" si="171"/>
        <v>1.9317180160985267E-2</v>
      </c>
      <c r="Q116" s="42">
        <v>2.0471007024570692E-2</v>
      </c>
      <c r="R116" s="148"/>
      <c r="W116" s="40"/>
      <c r="X116" s="40"/>
    </row>
    <row r="117" spans="2:24" s="39" customFormat="1" outlineLevel="1" x14ac:dyDescent="0.3">
      <c r="R117" s="148"/>
      <c r="W117" s="40"/>
      <c r="X117" s="40"/>
    </row>
    <row r="118" spans="2:24" outlineLevel="1" x14ac:dyDescent="0.3">
      <c r="B118" t="s">
        <v>27</v>
      </c>
      <c r="D118" s="35">
        <v>4152</v>
      </c>
      <c r="E118" s="35">
        <v>1449</v>
      </c>
      <c r="F118" s="35">
        <v>22521</v>
      </c>
      <c r="G118" s="35">
        <v>34392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/>
      <c r="P118" s="35">
        <v>16506</v>
      </c>
      <c r="Q118" s="35">
        <v>0</v>
      </c>
      <c r="R118" s="148">
        <f t="shared" si="112"/>
        <v>-1</v>
      </c>
      <c r="S118" s="35"/>
      <c r="T118" s="35">
        <v>24805</v>
      </c>
      <c r="U118" s="35">
        <v>0</v>
      </c>
      <c r="V118" s="35">
        <v>78285</v>
      </c>
      <c r="W118" s="32">
        <f t="shared" si="146"/>
        <v>2.156016932070147</v>
      </c>
      <c r="X118" s="32"/>
    </row>
    <row r="119" spans="2:24" outlineLevel="1" x14ac:dyDescent="0.3">
      <c r="B119" t="s">
        <v>28</v>
      </c>
      <c r="D119" s="35">
        <v>0</v>
      </c>
      <c r="E119" s="35">
        <v>0</v>
      </c>
      <c r="F119" s="35">
        <v>0</v>
      </c>
      <c r="G119" s="35">
        <v>0</v>
      </c>
      <c r="H119" s="35">
        <v>374</v>
      </c>
      <c r="I119" s="35">
        <v>60</v>
      </c>
      <c r="J119" s="35">
        <v>60</v>
      </c>
      <c r="K119" s="35">
        <v>60</v>
      </c>
      <c r="L119" s="35">
        <v>60</v>
      </c>
      <c r="M119" s="35">
        <v>60</v>
      </c>
      <c r="N119" s="35">
        <v>60</v>
      </c>
      <c r="O119" s="35"/>
      <c r="P119" s="35">
        <v>0</v>
      </c>
      <c r="Q119" s="35">
        <v>60</v>
      </c>
      <c r="R119" s="148"/>
      <c r="S119" s="35"/>
      <c r="T119" s="35">
        <v>0</v>
      </c>
      <c r="U119" s="35">
        <v>60</v>
      </c>
      <c r="V119" s="35">
        <v>250</v>
      </c>
      <c r="W119" s="32"/>
      <c r="X119" s="32">
        <f t="shared" si="147"/>
        <v>3.166666666666667</v>
      </c>
    </row>
    <row r="120" spans="2:24" outlineLevel="1" x14ac:dyDescent="0.3">
      <c r="B120" t="s">
        <v>29</v>
      </c>
      <c r="D120" s="35">
        <v>0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/>
      <c r="P120" s="35">
        <v>34369</v>
      </c>
      <c r="Q120" s="35">
        <v>0</v>
      </c>
      <c r="R120" s="148">
        <f t="shared" si="112"/>
        <v>-1</v>
      </c>
      <c r="S120" s="35"/>
      <c r="T120" s="35">
        <v>13287</v>
      </c>
      <c r="U120" s="35">
        <v>0</v>
      </c>
      <c r="V120" s="35">
        <v>2656</v>
      </c>
      <c r="W120" s="32">
        <f t="shared" si="146"/>
        <v>-0.80010536614736205</v>
      </c>
      <c r="X120" s="32"/>
    </row>
    <row r="121" spans="2:24" outlineLevel="1" x14ac:dyDescent="0.3">
      <c r="B121" t="s">
        <v>30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/>
      <c r="P121" s="35">
        <v>0</v>
      </c>
      <c r="Q121" s="35">
        <v>0</v>
      </c>
      <c r="R121" s="148"/>
      <c r="S121" s="35"/>
      <c r="T121" s="35">
        <v>0</v>
      </c>
      <c r="U121" s="35">
        <v>0</v>
      </c>
      <c r="V121" s="35">
        <v>0</v>
      </c>
      <c r="W121" s="32"/>
      <c r="X121" s="32"/>
    </row>
    <row r="122" spans="2:24" outlineLevel="1" x14ac:dyDescent="0.3">
      <c r="B122" t="s">
        <v>31</v>
      </c>
      <c r="D122" s="35">
        <v>0</v>
      </c>
      <c r="E122" s="35">
        <v>0</v>
      </c>
      <c r="F122" s="35">
        <v>0</v>
      </c>
      <c r="G122" s="35">
        <v>0</v>
      </c>
      <c r="H122" s="35">
        <v>115823</v>
      </c>
      <c r="I122" s="35">
        <v>749235</v>
      </c>
      <c r="J122" s="35">
        <v>749235</v>
      </c>
      <c r="K122" s="35">
        <v>749235</v>
      </c>
      <c r="L122" s="35">
        <v>749235</v>
      </c>
      <c r="M122" s="35">
        <v>749235</v>
      </c>
      <c r="N122" s="35">
        <v>749235</v>
      </c>
      <c r="O122" s="35"/>
      <c r="P122" s="35">
        <v>1310509</v>
      </c>
      <c r="Q122" s="35">
        <v>749235</v>
      </c>
      <c r="R122" s="148">
        <f t="shared" si="112"/>
        <v>-0.42828702435465915</v>
      </c>
      <c r="S122" s="35"/>
      <c r="T122" s="35">
        <v>400189</v>
      </c>
      <c r="U122" s="35">
        <v>749235</v>
      </c>
      <c r="V122" s="35">
        <v>958210</v>
      </c>
      <c r="W122" s="32">
        <f>V122/T122-1</f>
        <v>1.3943936490008473</v>
      </c>
      <c r="X122" s="32">
        <f>V122/U122-1</f>
        <v>0.27891782951944322</v>
      </c>
    </row>
    <row r="123" spans="2:24" outlineLevel="1" x14ac:dyDescent="0.3">
      <c r="B123" t="s">
        <v>32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/>
      <c r="P123" s="35">
        <v>22394</v>
      </c>
      <c r="Q123" s="35">
        <v>0</v>
      </c>
      <c r="R123" s="148">
        <f t="shared" si="112"/>
        <v>-1</v>
      </c>
      <c r="S123" s="35"/>
      <c r="T123" s="35">
        <v>11905</v>
      </c>
      <c r="U123" s="35">
        <v>0</v>
      </c>
      <c r="V123" s="35">
        <v>19025</v>
      </c>
      <c r="W123" s="47">
        <f>V123/T123-1</f>
        <v>0.5980680386392272</v>
      </c>
      <c r="X123" s="47"/>
    </row>
    <row r="124" spans="2:24" s="12" customFormat="1" x14ac:dyDescent="0.3">
      <c r="B124" s="12" t="s">
        <v>89</v>
      </c>
      <c r="D124" s="33">
        <v>3590006</v>
      </c>
      <c r="E124" s="33">
        <v>4108891</v>
      </c>
      <c r="F124" s="33">
        <v>4653933</v>
      </c>
      <c r="G124" s="33">
        <v>6014603</v>
      </c>
      <c r="H124" s="33">
        <v>7706925</v>
      </c>
      <c r="I124" s="33">
        <v>8498677</v>
      </c>
      <c r="J124" s="41">
        <f>J126*J138</f>
        <v>9373661.9423361253</v>
      </c>
      <c r="K124" s="41">
        <f t="shared" ref="K124:N124" si="172">K126*K138</f>
        <v>10852498.729249509</v>
      </c>
      <c r="L124" s="41">
        <f t="shared" si="172"/>
        <v>12162355.492601205</v>
      </c>
      <c r="M124" s="41">
        <f t="shared" si="172"/>
        <v>13705654.134355698</v>
      </c>
      <c r="N124" s="41">
        <f t="shared" si="172"/>
        <v>15555242.894690655</v>
      </c>
      <c r="O124" s="33"/>
      <c r="P124" s="33">
        <v>10430093</v>
      </c>
      <c r="Q124" s="41">
        <v>9373661.9423361253</v>
      </c>
      <c r="R124" s="148">
        <f t="shared" si="112"/>
        <v>-0.10128683010437922</v>
      </c>
      <c r="S124" s="33"/>
      <c r="T124" s="33">
        <v>8364764</v>
      </c>
      <c r="U124" s="33">
        <v>8498677</v>
      </c>
      <c r="V124" s="33">
        <v>9538204</v>
      </c>
      <c r="W124" s="134">
        <f>V124/T124-1</f>
        <v>0.14028369479401936</v>
      </c>
      <c r="X124" s="134">
        <f>V124/U124-1</f>
        <v>0.12231633229501493</v>
      </c>
    </row>
    <row r="125" spans="2:24" s="45" customFormat="1" x14ac:dyDescent="0.3">
      <c r="B125" s="45" t="s">
        <v>95</v>
      </c>
      <c r="E125" s="45">
        <f>E124/D124-1</f>
        <v>0.14453597013486896</v>
      </c>
      <c r="F125" s="45">
        <f t="shared" ref="F125:I125" si="173">F124/E124-1</f>
        <v>0.13264941805465269</v>
      </c>
      <c r="G125" s="45">
        <f t="shared" si="173"/>
        <v>0.29236991593991579</v>
      </c>
      <c r="H125" s="45">
        <f t="shared" si="173"/>
        <v>0.28136886175197273</v>
      </c>
      <c r="I125" s="45">
        <f t="shared" si="173"/>
        <v>0.10273254248614072</v>
      </c>
      <c r="J125" s="39">
        <f>AVERAGE(G125:I125)</f>
        <v>0.22549044005934307</v>
      </c>
      <c r="K125" s="39">
        <f t="shared" ref="K125:N125" si="174">AVERAGE(F125:J125)</f>
        <v>0.20692223565840501</v>
      </c>
      <c r="L125" s="39">
        <f t="shared" si="174"/>
        <v>0.22177679917915544</v>
      </c>
      <c r="M125" s="39">
        <f t="shared" si="174"/>
        <v>0.20765817582700338</v>
      </c>
      <c r="N125" s="39">
        <f t="shared" si="174"/>
        <v>0.19291603864200951</v>
      </c>
      <c r="Q125" s="39">
        <v>0.22549044005934307</v>
      </c>
      <c r="R125" s="148"/>
      <c r="W125" s="49"/>
      <c r="X125" s="49"/>
    </row>
    <row r="126" spans="2:24" s="39" customFormat="1" x14ac:dyDescent="0.3">
      <c r="B126" s="39" t="s">
        <v>171</v>
      </c>
      <c r="D126" s="39">
        <f t="shared" ref="D126:I126" si="175">D124/D138</f>
        <v>0.7353370654528778</v>
      </c>
      <c r="E126" s="39">
        <f t="shared" si="175"/>
        <v>0.78294819733257015</v>
      </c>
      <c r="F126" s="39">
        <f t="shared" si="175"/>
        <v>0.71526540355596835</v>
      </c>
      <c r="G126" s="39">
        <f t="shared" si="175"/>
        <v>0.8090231063641703</v>
      </c>
      <c r="H126" s="39">
        <f t="shared" si="175"/>
        <v>0.92386674180424411</v>
      </c>
      <c r="I126" s="39">
        <f t="shared" si="175"/>
        <v>0.90092348431804581</v>
      </c>
      <c r="J126" s="42">
        <f>AVERAGE(G126:I126)</f>
        <v>0.87793777749548674</v>
      </c>
      <c r="K126" s="42">
        <f t="shared" ref="K126:N126" si="176">AVERAGE(H126:J126)</f>
        <v>0.90090933453925892</v>
      </c>
      <c r="L126" s="42">
        <f t="shared" si="176"/>
        <v>0.89325686545093053</v>
      </c>
      <c r="M126" s="42">
        <f t="shared" si="176"/>
        <v>0.89070132582855877</v>
      </c>
      <c r="N126" s="42">
        <f t="shared" si="176"/>
        <v>0.89495584193958277</v>
      </c>
      <c r="Q126" s="42">
        <v>0.87793777749548674</v>
      </c>
      <c r="R126" s="148"/>
      <c r="W126" s="49"/>
      <c r="X126" s="49"/>
    </row>
    <row r="127" spans="2:24" s="39" customFormat="1" x14ac:dyDescent="0.3">
      <c r="R127" s="148"/>
      <c r="W127" s="49"/>
      <c r="X127" s="49"/>
    </row>
    <row r="128" spans="2:24" outlineLevel="1" x14ac:dyDescent="0.3">
      <c r="B128" t="s">
        <v>90</v>
      </c>
      <c r="D128" s="35">
        <v>214160</v>
      </c>
      <c r="E128" s="35">
        <v>207086</v>
      </c>
      <c r="F128" s="35">
        <v>221839</v>
      </c>
      <c r="G128" s="35">
        <v>298123</v>
      </c>
      <c r="H128" s="35">
        <v>311967</v>
      </c>
      <c r="I128" s="35">
        <v>387935</v>
      </c>
      <c r="J128" s="35">
        <v>387935</v>
      </c>
      <c r="K128" s="35">
        <v>387935</v>
      </c>
      <c r="L128" s="35">
        <v>387935</v>
      </c>
      <c r="M128" s="35">
        <v>387935</v>
      </c>
      <c r="N128" s="35">
        <v>387935</v>
      </c>
      <c r="O128" s="35"/>
      <c r="P128" s="35">
        <v>426329</v>
      </c>
      <c r="Q128" s="35">
        <v>387935</v>
      </c>
      <c r="R128" s="148">
        <f t="shared" si="112"/>
        <v>-9.0057209338327948E-2</v>
      </c>
      <c r="S128" s="35"/>
      <c r="T128" s="35">
        <v>345467</v>
      </c>
      <c r="U128" s="35">
        <v>387935</v>
      </c>
      <c r="V128" s="35">
        <v>381304</v>
      </c>
      <c r="W128" s="48">
        <f>V128/T128-1</f>
        <v>0.10373494429279795</v>
      </c>
      <c r="X128" s="48">
        <f>V128/U128-1</f>
        <v>-1.7093069715287346E-2</v>
      </c>
    </row>
    <row r="129" spans="2:24" outlineLevel="1" x14ac:dyDescent="0.3">
      <c r="B129" t="s">
        <v>33</v>
      </c>
      <c r="D129" s="35">
        <v>2920</v>
      </c>
      <c r="E129" s="35">
        <v>2920</v>
      </c>
      <c r="F129" s="35">
        <v>2920</v>
      </c>
      <c r="G129" s="35">
        <v>2920</v>
      </c>
      <c r="H129" s="35">
        <v>2920</v>
      </c>
      <c r="I129" s="35">
        <v>4233</v>
      </c>
      <c r="J129" s="35">
        <v>4233</v>
      </c>
      <c r="K129" s="35">
        <v>4233</v>
      </c>
      <c r="L129" s="35">
        <v>4233</v>
      </c>
      <c r="M129" s="35">
        <v>4233</v>
      </c>
      <c r="N129" s="35">
        <v>4233</v>
      </c>
      <c r="O129" s="35"/>
      <c r="P129" s="35">
        <v>4233</v>
      </c>
      <c r="Q129" s="35">
        <v>4233</v>
      </c>
      <c r="R129" s="148">
        <f t="shared" si="112"/>
        <v>0</v>
      </c>
      <c r="S129" s="35"/>
      <c r="T129" s="35">
        <v>4234</v>
      </c>
      <c r="U129" s="35">
        <v>4233</v>
      </c>
      <c r="V129" s="35">
        <v>4233</v>
      </c>
      <c r="W129" s="32">
        <f>V129/T129-1</f>
        <v>-2.361832782239448E-4</v>
      </c>
      <c r="X129" s="32">
        <f>V129/U129-1</f>
        <v>0</v>
      </c>
    </row>
    <row r="130" spans="2:24" outlineLevel="1" x14ac:dyDescent="0.3">
      <c r="B130" t="s">
        <v>34</v>
      </c>
      <c r="D130" s="35">
        <f>0</f>
        <v>0</v>
      </c>
      <c r="E130" s="35">
        <f>0</f>
        <v>0</v>
      </c>
      <c r="F130" s="35">
        <f>0</f>
        <v>0</v>
      </c>
      <c r="G130" s="35">
        <f>0</f>
        <v>0</v>
      </c>
      <c r="H130" s="35">
        <f>0</f>
        <v>0</v>
      </c>
      <c r="I130" s="35">
        <f>0</f>
        <v>0</v>
      </c>
      <c r="J130" s="35">
        <f>0</f>
        <v>0</v>
      </c>
      <c r="K130" s="35">
        <f>0</f>
        <v>0</v>
      </c>
      <c r="L130" s="35">
        <f>0</f>
        <v>0</v>
      </c>
      <c r="M130" s="35">
        <f>0</f>
        <v>0</v>
      </c>
      <c r="N130" s="35">
        <f>0</f>
        <v>0</v>
      </c>
      <c r="O130" s="35"/>
      <c r="P130" s="35">
        <v>0</v>
      </c>
      <c r="Q130" s="35">
        <v>0</v>
      </c>
      <c r="R130" s="148"/>
      <c r="S130" s="35"/>
      <c r="T130" s="35">
        <f>0</f>
        <v>0</v>
      </c>
      <c r="U130" s="35">
        <f>0</f>
        <v>0</v>
      </c>
      <c r="V130" s="35">
        <f>0</f>
        <v>0</v>
      </c>
      <c r="W130" s="32"/>
      <c r="X130" s="32"/>
    </row>
    <row r="131" spans="2:24" outlineLevel="1" x14ac:dyDescent="0.3">
      <c r="B131" t="s">
        <v>35</v>
      </c>
      <c r="D131" s="35">
        <v>239169</v>
      </c>
      <c r="E131" s="35">
        <v>215715</v>
      </c>
      <c r="F131" s="35">
        <v>219644</v>
      </c>
      <c r="G131" s="35">
        <v>202200</v>
      </c>
      <c r="H131" s="35">
        <v>206078</v>
      </c>
      <c r="I131" s="35">
        <v>205044</v>
      </c>
      <c r="J131" s="35">
        <v>205045</v>
      </c>
      <c r="K131" s="35">
        <v>205046</v>
      </c>
      <c r="L131" s="35">
        <v>205047</v>
      </c>
      <c r="M131" s="35">
        <v>205048</v>
      </c>
      <c r="N131" s="35">
        <v>205049</v>
      </c>
      <c r="O131" s="35"/>
      <c r="P131" s="35">
        <v>250590</v>
      </c>
      <c r="Q131" s="35">
        <v>205045</v>
      </c>
      <c r="R131" s="148">
        <f t="shared" si="112"/>
        <v>-0.18175106748074543</v>
      </c>
      <c r="S131" s="35"/>
      <c r="T131" s="35">
        <v>197316</v>
      </c>
      <c r="U131" s="35">
        <v>205044</v>
      </c>
      <c r="V131" s="35">
        <v>230956</v>
      </c>
      <c r="W131" s="32">
        <f>V131/T131-1</f>
        <v>0.170487948265726</v>
      </c>
      <c r="X131" s="32">
        <f>V131/U131-1</f>
        <v>0.12637287606562486</v>
      </c>
    </row>
    <row r="132" spans="2:24" s="28" customFormat="1" x14ac:dyDescent="0.3">
      <c r="B132" s="28" t="s">
        <v>36</v>
      </c>
      <c r="D132" s="38">
        <f t="shared" ref="D132:I132" si="177">D103+D106+D110+D114+D118+D119+D120+D121+D122+D123+D124+D128+D129+D130+D131</f>
        <v>6417427</v>
      </c>
      <c r="E132" s="38">
        <f t="shared" si="177"/>
        <v>7058631</v>
      </c>
      <c r="F132" s="38">
        <f t="shared" si="177"/>
        <v>8681421</v>
      </c>
      <c r="G132" s="38">
        <f t="shared" si="177"/>
        <v>10234532</v>
      </c>
      <c r="H132" s="38">
        <f t="shared" si="177"/>
        <v>12179562</v>
      </c>
      <c r="I132" s="38">
        <f t="shared" si="177"/>
        <v>13735690</v>
      </c>
      <c r="J132" s="38">
        <f t="shared" ref="J132:P132" si="178">J103+J106+J110+J114+J118+J119+J120+J121+J122+J123+J124+J128+J129+J130+J131</f>
        <v>15604779.220033551</v>
      </c>
      <c r="K132" s="38">
        <f t="shared" si="178"/>
        <v>17954531.229896773</v>
      </c>
      <c r="L132" s="38">
        <f t="shared" si="178"/>
        <v>20464671.978313625</v>
      </c>
      <c r="M132" s="38">
        <f t="shared" si="178"/>
        <v>23413603.156711511</v>
      </c>
      <c r="N132" s="38">
        <f t="shared" si="178"/>
        <v>26844236.800639085</v>
      </c>
      <c r="O132" s="38">
        <f t="shared" si="178"/>
        <v>0</v>
      </c>
      <c r="P132" s="38">
        <f t="shared" si="178"/>
        <v>17182708</v>
      </c>
      <c r="Q132" s="38">
        <v>15604779.220033551</v>
      </c>
      <c r="R132" s="148">
        <f t="shared" si="112"/>
        <v>-9.1832368912190598E-2</v>
      </c>
      <c r="S132" s="38"/>
      <c r="T132" s="38">
        <f>T103+T106+T110+T114+T118+T119+T120+T121+T122+T123+T124+T128+T129+T130+T131</f>
        <v>13394213</v>
      </c>
      <c r="U132" s="38">
        <f>U103+U106+U110+U114+U118+U119+U120+U121+U122+U123+U124+U128+U129+U130+U131</f>
        <v>13735690</v>
      </c>
      <c r="V132" s="38">
        <f>V103+V106+V110+V114+V118+V119+V120+V121+V122+V123+V124+V128+V129+V130+V131</f>
        <v>15471400</v>
      </c>
      <c r="W132" s="32">
        <f>V132/T132-1</f>
        <v>0.15508092935359463</v>
      </c>
      <c r="X132" s="32">
        <f>V132/U132-1</f>
        <v>0.12636496601190039</v>
      </c>
    </row>
    <row r="133" spans="2:24" s="45" customFormat="1" x14ac:dyDescent="0.3">
      <c r="B133" s="45" t="s">
        <v>95</v>
      </c>
      <c r="E133" s="45">
        <f>E132/D132-1</f>
        <v>9.9916056699982825E-2</v>
      </c>
      <c r="F133" s="45">
        <f t="shared" ref="F133:N133" si="179">F132/E132-1</f>
        <v>0.22990152056397339</v>
      </c>
      <c r="G133" s="45">
        <f t="shared" si="179"/>
        <v>0.17890055095819002</v>
      </c>
      <c r="H133" s="45">
        <f t="shared" si="179"/>
        <v>0.19004581743454407</v>
      </c>
      <c r="I133" s="45">
        <f t="shared" si="179"/>
        <v>0.12776551406364201</v>
      </c>
      <c r="J133" s="45">
        <f t="shared" si="179"/>
        <v>0.13607537881486476</v>
      </c>
      <c r="K133" s="45">
        <f t="shared" si="179"/>
        <v>0.15057899741680347</v>
      </c>
      <c r="L133" s="45">
        <f t="shared" si="179"/>
        <v>0.13980541826885018</v>
      </c>
      <c r="M133" s="45">
        <f t="shared" si="179"/>
        <v>0.14409862916556215</v>
      </c>
      <c r="N133" s="45">
        <f t="shared" si="179"/>
        <v>0.14652309689225174</v>
      </c>
      <c r="Q133" s="45">
        <v>0.13607537881486476</v>
      </c>
      <c r="R133" s="148"/>
      <c r="W133" s="53"/>
      <c r="X133" s="53"/>
    </row>
    <row r="134" spans="2:24" s="45" customFormat="1" x14ac:dyDescent="0.3">
      <c r="B134" s="45" t="s">
        <v>109</v>
      </c>
      <c r="D134" s="45">
        <f t="shared" ref="D134:N134" si="180">D70/D132</f>
        <v>2.2554054763692676E-2</v>
      </c>
      <c r="E134" s="45">
        <f t="shared" si="180"/>
        <v>3.0216057476301E-2</v>
      </c>
      <c r="F134" s="45">
        <f t="shared" si="180"/>
        <v>3.3652209701614519E-2</v>
      </c>
      <c r="G134" s="45">
        <f t="shared" si="180"/>
        <v>4.2177991138236705E-2</v>
      </c>
      <c r="H134" s="45">
        <f t="shared" si="180"/>
        <v>4.4764089217658239E-2</v>
      </c>
      <c r="I134" s="45">
        <f t="shared" si="180"/>
        <v>4.7095777496434468E-2</v>
      </c>
      <c r="J134" s="45">
        <f t="shared" si="180"/>
        <v>5.0854034096104471E-2</v>
      </c>
      <c r="K134" s="45">
        <f t="shared" si="180"/>
        <v>5.0231429097939186E-2</v>
      </c>
      <c r="L134" s="45">
        <f t="shared" si="180"/>
        <v>5.2189218073769104E-2</v>
      </c>
      <c r="M134" s="45">
        <f t="shared" si="180"/>
        <v>5.3098795479419557E-2</v>
      </c>
      <c r="N134" s="45">
        <f>N70/N132</f>
        <v>5.3908328857849006E-2</v>
      </c>
      <c r="P134" s="45">
        <f t="shared" ref="O134:Q134" si="181">P70/P132</f>
        <v>4.3635264010771758E-2</v>
      </c>
      <c r="Q134" s="45">
        <v>5.0854034096104471E-2</v>
      </c>
      <c r="R134" s="148">
        <f t="shared" si="112"/>
        <v>0.16543431669281738</v>
      </c>
      <c r="W134" s="53"/>
      <c r="X134" s="53"/>
    </row>
    <row r="135" spans="2:24" s="12" customFormat="1" x14ac:dyDescent="0.3"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148"/>
      <c r="S135" s="33"/>
      <c r="T135" s="33"/>
      <c r="U135" s="33"/>
      <c r="V135" s="33"/>
      <c r="W135" s="52"/>
      <c r="X135" s="52"/>
    </row>
    <row r="136" spans="2:24" ht="15.6" x14ac:dyDescent="0.3">
      <c r="B136" s="135" t="s">
        <v>37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148"/>
      <c r="S136" s="35"/>
      <c r="T136" s="35"/>
      <c r="U136" s="35"/>
      <c r="V136" s="35"/>
    </row>
    <row r="137" spans="2:24" x14ac:dyDescent="0.3">
      <c r="B137" t="s">
        <v>38</v>
      </c>
      <c r="D137" s="35">
        <v>33446</v>
      </c>
      <c r="E137" s="35">
        <v>131224</v>
      </c>
      <c r="F137" s="35">
        <v>408</v>
      </c>
      <c r="G137" s="35">
        <v>12445</v>
      </c>
      <c r="H137" s="35">
        <v>15008</v>
      </c>
      <c r="I137" s="35">
        <v>73</v>
      </c>
      <c r="J137" s="35">
        <v>73</v>
      </c>
      <c r="K137" s="35">
        <v>73</v>
      </c>
      <c r="L137" s="35">
        <v>73</v>
      </c>
      <c r="M137" s="35">
        <v>73</v>
      </c>
      <c r="N137" s="35">
        <v>73</v>
      </c>
      <c r="O137" s="35"/>
      <c r="P137" s="35">
        <v>21781</v>
      </c>
      <c r="Q137" s="35">
        <v>73</v>
      </c>
      <c r="R137" s="148">
        <f t="shared" si="112"/>
        <v>-0.99664845507552458</v>
      </c>
      <c r="S137" s="35"/>
      <c r="T137" s="35">
        <v>60401</v>
      </c>
      <c r="U137" s="35">
        <v>73</v>
      </c>
      <c r="V137" s="35">
        <v>33124</v>
      </c>
      <c r="W137" s="32">
        <f>V137/T137-1</f>
        <v>-0.4515984834688167</v>
      </c>
      <c r="X137" s="32">
        <f>V137/U137-1</f>
        <v>452.75342465753425</v>
      </c>
    </row>
    <row r="138" spans="2:24" s="12" customFormat="1" x14ac:dyDescent="0.3">
      <c r="B138" s="12" t="s">
        <v>39</v>
      </c>
      <c r="D138" s="33">
        <v>4882123</v>
      </c>
      <c r="E138" s="33">
        <v>5247973</v>
      </c>
      <c r="F138" s="33">
        <v>6506582</v>
      </c>
      <c r="G138" s="33">
        <v>7434402</v>
      </c>
      <c r="H138" s="33">
        <v>8342031</v>
      </c>
      <c r="I138" s="33">
        <v>9433295</v>
      </c>
      <c r="J138" s="41">
        <f>(1+J139)*I138</f>
        <v>10676909.209985914</v>
      </c>
      <c r="K138" s="41">
        <f t="shared" ref="K138:N138" si="182">(1+K139)*J138</f>
        <v>12046160.82127695</v>
      </c>
      <c r="L138" s="41">
        <f t="shared" si="182"/>
        <v>13615742.529402727</v>
      </c>
      <c r="M138" s="41">
        <f t="shared" si="182"/>
        <v>15387485.947218347</v>
      </c>
      <c r="N138" s="41">
        <f t="shared" si="182"/>
        <v>17381017.214188728</v>
      </c>
      <c r="O138" s="33"/>
      <c r="P138" s="33">
        <v>12248900</v>
      </c>
      <c r="Q138" s="41">
        <v>10676909.209985914</v>
      </c>
      <c r="R138" s="148">
        <f t="shared" si="112"/>
        <v>-0.12833730294263868</v>
      </c>
      <c r="S138" s="33"/>
      <c r="T138" s="33">
        <v>9022435</v>
      </c>
      <c r="U138" s="33">
        <v>9433295</v>
      </c>
      <c r="V138" s="33">
        <v>10866583</v>
      </c>
      <c r="W138" s="46">
        <f t="shared" ref="W138:W154" si="183">V138/T138-1</f>
        <v>0.20439581997542788</v>
      </c>
      <c r="X138" s="46">
        <f t="shared" ref="X138:X154" si="184">V138/U138-1</f>
        <v>0.15193927466489709</v>
      </c>
    </row>
    <row r="139" spans="2:24" s="39" customFormat="1" x14ac:dyDescent="0.3">
      <c r="B139" s="39" t="s">
        <v>95</v>
      </c>
      <c r="E139" s="39">
        <f>E138/D138-1</f>
        <v>7.4936661776034752E-2</v>
      </c>
      <c r="F139" s="39">
        <f t="shared" ref="F139:I139" si="185">F138/E138-1</f>
        <v>0.23982764393033262</v>
      </c>
      <c r="G139" s="39">
        <f t="shared" si="185"/>
        <v>0.14259714240134058</v>
      </c>
      <c r="H139" s="39">
        <f t="shared" si="185"/>
        <v>0.1220850042814472</v>
      </c>
      <c r="I139" s="39">
        <f t="shared" si="185"/>
        <v>0.13081514561621743</v>
      </c>
      <c r="J139" s="42">
        <f>AVERAGE(G139:I139)</f>
        <v>0.13183243076633508</v>
      </c>
      <c r="K139" s="42">
        <f t="shared" ref="K139:N139" si="186">AVERAGE(H139:J139)</f>
        <v>0.12824419355466657</v>
      </c>
      <c r="L139" s="42">
        <f t="shared" si="186"/>
        <v>0.13029725664573968</v>
      </c>
      <c r="M139" s="42">
        <f t="shared" si="186"/>
        <v>0.13012462698891378</v>
      </c>
      <c r="N139" s="42">
        <f t="shared" si="186"/>
        <v>0.12955535906310667</v>
      </c>
      <c r="Q139" s="42">
        <v>0.13183243076633508</v>
      </c>
      <c r="R139" s="148"/>
      <c r="W139" s="40"/>
      <c r="X139" s="40"/>
    </row>
    <row r="140" spans="2:24" s="12" customFormat="1" x14ac:dyDescent="0.3"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148"/>
      <c r="S140" s="33"/>
      <c r="T140" s="33"/>
      <c r="U140" s="33"/>
      <c r="V140" s="33"/>
      <c r="W140" s="46"/>
      <c r="X140" s="46"/>
    </row>
    <row r="141" spans="2:24" outlineLevel="1" x14ac:dyDescent="0.3">
      <c r="B141" t="s">
        <v>40</v>
      </c>
      <c r="D141" s="35">
        <v>19833</v>
      </c>
      <c r="E141" s="35">
        <v>36645</v>
      </c>
      <c r="F141" s="35">
        <v>149408</v>
      </c>
      <c r="G141" s="35">
        <v>144435</v>
      </c>
      <c r="H141" s="35">
        <v>97267</v>
      </c>
      <c r="I141" s="35">
        <v>97405</v>
      </c>
      <c r="J141" s="35">
        <v>97405</v>
      </c>
      <c r="K141" s="35">
        <v>97405</v>
      </c>
      <c r="L141" s="35">
        <v>97405</v>
      </c>
      <c r="M141" s="35">
        <v>97405</v>
      </c>
      <c r="N141" s="35">
        <v>97405</v>
      </c>
      <c r="O141" s="35"/>
      <c r="P141" s="35">
        <v>78303</v>
      </c>
      <c r="Q141" s="35">
        <v>97405</v>
      </c>
      <c r="R141" s="148">
        <f t="shared" ref="R140:R182" si="187">Q141/P141-1</f>
        <v>0.24394978481028828</v>
      </c>
      <c r="S141" s="35"/>
      <c r="T141" s="35">
        <v>82340</v>
      </c>
      <c r="U141" s="35">
        <v>97405</v>
      </c>
      <c r="V141" s="35">
        <v>83851</v>
      </c>
      <c r="W141" s="32">
        <f t="shared" si="183"/>
        <v>1.8350740830701984E-2</v>
      </c>
      <c r="X141" s="32">
        <f t="shared" si="184"/>
        <v>-0.13915096760946566</v>
      </c>
    </row>
    <row r="142" spans="2:24" outlineLevel="1" x14ac:dyDescent="0.3">
      <c r="B142" t="s">
        <v>41</v>
      </c>
      <c r="D142" s="35">
        <v>14595</v>
      </c>
      <c r="E142" s="35">
        <v>40833</v>
      </c>
      <c r="F142" s="35">
        <v>6899</v>
      </c>
      <c r="G142" s="35">
        <v>15995</v>
      </c>
      <c r="H142" s="35">
        <v>26310</v>
      </c>
      <c r="I142" s="35">
        <v>33522</v>
      </c>
      <c r="J142" s="35">
        <v>33522</v>
      </c>
      <c r="K142" s="35">
        <v>33522</v>
      </c>
      <c r="L142" s="35">
        <v>33522</v>
      </c>
      <c r="M142" s="35">
        <v>33522</v>
      </c>
      <c r="N142" s="35">
        <v>33522</v>
      </c>
      <c r="O142" s="35"/>
      <c r="P142" s="35">
        <v>66048</v>
      </c>
      <c r="Q142" s="35">
        <v>33522</v>
      </c>
      <c r="R142" s="148">
        <f t="shared" si="187"/>
        <v>-0.49246002906976749</v>
      </c>
      <c r="S142" s="35"/>
      <c r="T142" s="35">
        <v>41997</v>
      </c>
      <c r="U142" s="35">
        <v>33522</v>
      </c>
      <c r="V142" s="35">
        <v>66485</v>
      </c>
      <c r="W142" s="32">
        <f t="shared" si="183"/>
        <v>0.58308926828106777</v>
      </c>
      <c r="X142" s="32">
        <f t="shared" si="184"/>
        <v>0.98332438398663569</v>
      </c>
    </row>
    <row r="143" spans="2:24" outlineLevel="1" x14ac:dyDescent="0.3">
      <c r="B143" t="s">
        <v>92</v>
      </c>
      <c r="D143" s="35">
        <v>0</v>
      </c>
      <c r="E143" s="35">
        <v>2118</v>
      </c>
      <c r="F143" s="35">
        <v>2178</v>
      </c>
      <c r="G143" s="35">
        <v>2178</v>
      </c>
      <c r="H143" s="35">
        <v>1983</v>
      </c>
      <c r="I143" s="35">
        <v>1879</v>
      </c>
      <c r="J143" s="35">
        <v>1879</v>
      </c>
      <c r="K143" s="35">
        <v>1879</v>
      </c>
      <c r="L143" s="35">
        <v>1879</v>
      </c>
      <c r="M143" s="35">
        <v>1879</v>
      </c>
      <c r="N143" s="35">
        <v>1879</v>
      </c>
      <c r="O143" s="35"/>
      <c r="P143" s="35">
        <v>765</v>
      </c>
      <c r="Q143" s="35">
        <v>1879</v>
      </c>
      <c r="R143" s="148">
        <f t="shared" si="187"/>
        <v>1.4562091503267975</v>
      </c>
      <c r="S143" s="35"/>
      <c r="T143" s="35">
        <v>1891</v>
      </c>
      <c r="U143" s="35">
        <v>1879</v>
      </c>
      <c r="V143" s="35">
        <v>765</v>
      </c>
      <c r="W143" s="32">
        <f t="shared" si="183"/>
        <v>-0.59545214172395555</v>
      </c>
      <c r="X143" s="32">
        <f t="shared" si="184"/>
        <v>-0.59286854709952097</v>
      </c>
    </row>
    <row r="144" spans="2:24" outlineLevel="1" x14ac:dyDescent="0.3">
      <c r="B144" t="s">
        <v>42</v>
      </c>
      <c r="D144" s="35">
        <v>33355</v>
      </c>
      <c r="E144" s="35">
        <v>36682</v>
      </c>
      <c r="F144" s="35">
        <v>47700</v>
      </c>
      <c r="G144" s="35">
        <v>51569</v>
      </c>
      <c r="H144" s="35">
        <v>58895</v>
      </c>
      <c r="I144" s="35">
        <v>49636</v>
      </c>
      <c r="J144" s="35">
        <v>49636</v>
      </c>
      <c r="K144" s="35">
        <v>49636</v>
      </c>
      <c r="L144" s="35">
        <v>49636</v>
      </c>
      <c r="M144" s="35">
        <v>49636</v>
      </c>
      <c r="N144" s="35">
        <v>49636</v>
      </c>
      <c r="O144" s="35"/>
      <c r="P144" s="35">
        <v>137535</v>
      </c>
      <c r="Q144" s="35">
        <v>49636</v>
      </c>
      <c r="R144" s="148">
        <f t="shared" si="187"/>
        <v>-0.63910277383938641</v>
      </c>
      <c r="S144" s="35"/>
      <c r="T144" s="35">
        <v>138332</v>
      </c>
      <c r="U144" s="35">
        <v>49636</v>
      </c>
      <c r="V144" s="35">
        <v>154269</v>
      </c>
      <c r="W144" s="32">
        <f t="shared" si="183"/>
        <v>0.11520833935748787</v>
      </c>
      <c r="X144" s="32">
        <f t="shared" si="184"/>
        <v>2.1080062857603354</v>
      </c>
    </row>
    <row r="145" spans="2:24" outlineLevel="1" x14ac:dyDescent="0.3">
      <c r="B145" t="s">
        <v>93</v>
      </c>
      <c r="D145" s="35">
        <v>0</v>
      </c>
      <c r="E145" s="35">
        <v>0</v>
      </c>
      <c r="F145" s="35">
        <v>0</v>
      </c>
      <c r="G145" s="35">
        <v>52290</v>
      </c>
      <c r="H145" s="35">
        <v>60988</v>
      </c>
      <c r="I145" s="35">
        <v>68962</v>
      </c>
      <c r="J145" s="35">
        <v>68962</v>
      </c>
      <c r="K145" s="35">
        <v>68962</v>
      </c>
      <c r="L145" s="35">
        <v>68962</v>
      </c>
      <c r="M145" s="35">
        <v>68962</v>
      </c>
      <c r="N145" s="35">
        <v>68962</v>
      </c>
      <c r="O145" s="35"/>
      <c r="P145" s="35">
        <v>95242</v>
      </c>
      <c r="Q145" s="35">
        <v>68962</v>
      </c>
      <c r="R145" s="148">
        <f t="shared" si="187"/>
        <v>-0.2759286869238361</v>
      </c>
      <c r="S145" s="35"/>
      <c r="T145" s="35">
        <v>65606</v>
      </c>
      <c r="U145" s="35">
        <v>68962</v>
      </c>
      <c r="V145" s="35">
        <v>84511</v>
      </c>
      <c r="W145" s="32">
        <f t="shared" si="183"/>
        <v>0.28815961954699265</v>
      </c>
      <c r="X145" s="32">
        <f t="shared" si="184"/>
        <v>0.2254719990719527</v>
      </c>
    </row>
    <row r="146" spans="2:24" outlineLevel="1" x14ac:dyDescent="0.3">
      <c r="B146" t="s">
        <v>43</v>
      </c>
      <c r="D146" s="35">
        <v>117530</v>
      </c>
      <c r="E146" s="35">
        <v>108272</v>
      </c>
      <c r="F146" s="35">
        <v>119465</v>
      </c>
      <c r="G146" s="35">
        <v>81854</v>
      </c>
      <c r="H146" s="35">
        <v>104310</v>
      </c>
      <c r="I146" s="35">
        <v>122034</v>
      </c>
      <c r="J146" s="35">
        <v>122034</v>
      </c>
      <c r="K146" s="35">
        <v>122034</v>
      </c>
      <c r="L146" s="35">
        <v>122034</v>
      </c>
      <c r="M146" s="35">
        <v>122034</v>
      </c>
      <c r="N146" s="35">
        <v>122034</v>
      </c>
      <c r="O146" s="35"/>
      <c r="P146" s="35">
        <v>147480</v>
      </c>
      <c r="Q146" s="35">
        <v>122034</v>
      </c>
      <c r="R146" s="148">
        <f t="shared" si="187"/>
        <v>-0.17253864930838081</v>
      </c>
      <c r="S146" s="35"/>
      <c r="T146" s="35">
        <v>106150</v>
      </c>
      <c r="U146" s="35">
        <v>122034</v>
      </c>
      <c r="V146" s="35">
        <v>125138</v>
      </c>
      <c r="W146" s="47">
        <f t="shared" si="183"/>
        <v>0.17887894488930756</v>
      </c>
      <c r="X146" s="47">
        <f t="shared" si="184"/>
        <v>2.5435534359276923E-2</v>
      </c>
    </row>
    <row r="147" spans="2:24" s="12" customFormat="1" outlineLevel="1" x14ac:dyDescent="0.3">
      <c r="B147" s="12" t="s">
        <v>44</v>
      </c>
      <c r="D147" s="33">
        <v>347443</v>
      </c>
      <c r="E147" s="33">
        <v>323740</v>
      </c>
      <c r="F147" s="33">
        <v>494215</v>
      </c>
      <c r="G147" s="33">
        <v>749354</v>
      </c>
      <c r="H147" s="33">
        <v>1380193</v>
      </c>
      <c r="I147" s="33">
        <v>1369504</v>
      </c>
      <c r="J147" s="41">
        <f>J149*J138</f>
        <v>1464244.2572333328</v>
      </c>
      <c r="K147" s="41">
        <f t="shared" ref="K147:N147" si="188">K149*K138</f>
        <v>1797967.317968227</v>
      </c>
      <c r="L147" s="41">
        <f t="shared" si="188"/>
        <v>1958739.675057532</v>
      </c>
      <c r="M147" s="41">
        <f t="shared" si="188"/>
        <v>2206853.358878905</v>
      </c>
      <c r="N147" s="41">
        <f t="shared" si="188"/>
        <v>2529132.8020427059</v>
      </c>
      <c r="O147" s="33"/>
      <c r="P147" s="33">
        <v>1289285</v>
      </c>
      <c r="Q147" s="41">
        <v>1464244.2572333328</v>
      </c>
      <c r="R147" s="148">
        <f t="shared" si="187"/>
        <v>0.1357025461657686</v>
      </c>
      <c r="S147" s="33"/>
      <c r="T147" s="33">
        <v>1485355</v>
      </c>
      <c r="U147" s="33">
        <v>1369504</v>
      </c>
      <c r="V147" s="33">
        <v>1167108</v>
      </c>
      <c r="W147" s="134">
        <f t="shared" si="183"/>
        <v>-0.21425652453453892</v>
      </c>
      <c r="X147" s="134">
        <f t="shared" si="184"/>
        <v>-0.14778781222982917</v>
      </c>
    </row>
    <row r="148" spans="2:24" s="39" customFormat="1" outlineLevel="1" x14ac:dyDescent="0.3">
      <c r="B148" s="39" t="s">
        <v>95</v>
      </c>
      <c r="E148" s="39">
        <f>E147/D147-1</f>
        <v>-6.8221262192647458E-2</v>
      </c>
      <c r="F148" s="39">
        <f t="shared" ref="F148:I148" si="189">F147/E147-1</f>
        <v>0.52657997158213377</v>
      </c>
      <c r="G148" s="39">
        <f t="shared" si="189"/>
        <v>0.51625102435174974</v>
      </c>
      <c r="H148" s="39">
        <f t="shared" si="189"/>
        <v>0.84184377477133632</v>
      </c>
      <c r="I148" s="39">
        <f t="shared" si="189"/>
        <v>-7.7445690566464442E-3</v>
      </c>
      <c r="J148" s="39">
        <f t="shared" ref="J148" si="190">J147/I147-1</f>
        <v>6.9178518086353114E-2</v>
      </c>
      <c r="K148" s="39">
        <f t="shared" ref="K148" si="191">K147/J147-1</f>
        <v>0.22791488447798924</v>
      </c>
      <c r="L148" s="39">
        <f t="shared" ref="L148" si="192">L147/K147-1</f>
        <v>8.9418954105897841E-2</v>
      </c>
      <c r="M148" s="39">
        <f t="shared" ref="M148" si="193">M147/L147-1</f>
        <v>0.12667006595150809</v>
      </c>
      <c r="N148" s="39">
        <f t="shared" ref="N148" si="194">N147/M147-1</f>
        <v>0.14603573085958055</v>
      </c>
      <c r="Q148" s="39">
        <v>6.9178518086353114E-2</v>
      </c>
      <c r="R148" s="148"/>
      <c r="W148" s="133"/>
      <c r="X148" s="133"/>
    </row>
    <row r="149" spans="2:24" s="39" customFormat="1" outlineLevel="1" x14ac:dyDescent="0.3">
      <c r="B149" s="39" t="s">
        <v>176</v>
      </c>
      <c r="D149" s="39">
        <f>D147/D138</f>
        <v>7.1166375775456703E-2</v>
      </c>
      <c r="E149" s="39">
        <f t="shared" ref="E149:I149" si="195">E147/E138</f>
        <v>6.1688579571579354E-2</v>
      </c>
      <c r="F149" s="39">
        <f t="shared" si="195"/>
        <v>7.5956162544328187E-2</v>
      </c>
      <c r="G149" s="39">
        <f t="shared" si="195"/>
        <v>0.1007954641139933</v>
      </c>
      <c r="H149" s="39">
        <f t="shared" si="195"/>
        <v>0.16545047602915885</v>
      </c>
      <c r="I149" s="39">
        <f t="shared" si="195"/>
        <v>0.14517769241818473</v>
      </c>
      <c r="J149" s="132">
        <f>AVERAGE(G149:I149)</f>
        <v>0.13714121085377898</v>
      </c>
      <c r="K149" s="132">
        <f t="shared" ref="K149:N149" si="196">AVERAGE(H149:J149)</f>
        <v>0.14925645976704086</v>
      </c>
      <c r="L149" s="132">
        <f t="shared" si="196"/>
        <v>0.14385845434633485</v>
      </c>
      <c r="M149" s="132">
        <f t="shared" si="196"/>
        <v>0.1434187083223849</v>
      </c>
      <c r="N149" s="132">
        <f t="shared" si="196"/>
        <v>0.14551120747858687</v>
      </c>
      <c r="Q149" s="132">
        <v>0.13714121085377898</v>
      </c>
      <c r="R149" s="148"/>
      <c r="W149" s="40"/>
      <c r="X149" s="40"/>
    </row>
    <row r="150" spans="2:24" s="39" customFormat="1" outlineLevel="1" x14ac:dyDescent="0.3">
      <c r="J150" s="35"/>
      <c r="K150" s="35"/>
      <c r="L150" s="35"/>
      <c r="M150" s="35"/>
      <c r="N150" s="35"/>
      <c r="Q150" s="35"/>
      <c r="R150" s="148"/>
      <c r="W150" s="40"/>
      <c r="X150" s="40"/>
    </row>
    <row r="151" spans="2:24" s="28" customFormat="1" x14ac:dyDescent="0.3">
      <c r="B151" s="28" t="s">
        <v>45</v>
      </c>
      <c r="D151" s="38">
        <f>D137+D138+D141+D142+D143+D144+D145+D146+D147</f>
        <v>5448325</v>
      </c>
      <c r="E151" s="38">
        <f t="shared" ref="E151:N151" si="197">E137+E138+E141+E142+E143+E144+E145+E146+E147</f>
        <v>5927487</v>
      </c>
      <c r="F151" s="38">
        <f t="shared" si="197"/>
        <v>7326855</v>
      </c>
      <c r="G151" s="38">
        <f t="shared" si="197"/>
        <v>8544522</v>
      </c>
      <c r="H151" s="38">
        <f t="shared" si="197"/>
        <v>10086985</v>
      </c>
      <c r="I151" s="38">
        <f t="shared" si="197"/>
        <v>11176310</v>
      </c>
      <c r="J151" s="43">
        <f t="shared" si="197"/>
        <v>12514664.467219247</v>
      </c>
      <c r="K151" s="43">
        <f t="shared" si="197"/>
        <v>14217639.139245177</v>
      </c>
      <c r="L151" s="43">
        <f t="shared" si="197"/>
        <v>15947993.20446026</v>
      </c>
      <c r="M151" s="43">
        <f t="shared" si="197"/>
        <v>17967850.306097254</v>
      </c>
      <c r="N151" s="43">
        <f t="shared" si="197"/>
        <v>20283661.016231433</v>
      </c>
      <c r="O151" s="38"/>
      <c r="P151" s="38">
        <v>14085554</v>
      </c>
      <c r="Q151" s="43">
        <v>12514664.467219247</v>
      </c>
      <c r="R151" s="148">
        <f t="shared" si="187"/>
        <v>-0.11152486673798945</v>
      </c>
      <c r="S151" s="38"/>
      <c r="T151" s="38">
        <f t="shared" ref="T151:U151" si="198">T137+T138+T141+T142+T143+T144+T145+T146+T147</f>
        <v>11004507</v>
      </c>
      <c r="U151" s="38">
        <f t="shared" si="198"/>
        <v>11176310</v>
      </c>
      <c r="V151" s="38">
        <f t="shared" ref="V151" si="199">V137+V138+V141+V142+V143+V144+V145+V146+V147</f>
        <v>12581834</v>
      </c>
      <c r="W151" s="32">
        <f t="shared" si="183"/>
        <v>0.14333463552706172</v>
      </c>
      <c r="X151" s="32">
        <f t="shared" si="184"/>
        <v>0.1257592174877038</v>
      </c>
    </row>
    <row r="152" spans="2:24" s="45" customFormat="1" x14ac:dyDescent="0.3">
      <c r="B152" s="45" t="s">
        <v>95</v>
      </c>
      <c r="E152" s="45">
        <f>E151/D151-1</f>
        <v>8.7946662506366735E-2</v>
      </c>
      <c r="F152" s="45">
        <f t="shared" ref="F152:I152" si="200">F151/E151-1</f>
        <v>0.23608115884522385</v>
      </c>
      <c r="G152" s="45">
        <f t="shared" si="200"/>
        <v>0.16619231580261928</v>
      </c>
      <c r="H152" s="45">
        <f t="shared" si="200"/>
        <v>0.18052068916201525</v>
      </c>
      <c r="I152" s="45">
        <f t="shared" si="200"/>
        <v>0.10799312182976384</v>
      </c>
      <c r="J152" s="45">
        <f t="shared" ref="J152" si="201">J151/I151-1</f>
        <v>0.11974922556901579</v>
      </c>
      <c r="K152" s="45">
        <f t="shared" ref="K152" si="202">K151/J151-1</f>
        <v>0.13607833246242285</v>
      </c>
      <c r="L152" s="45">
        <f t="shared" ref="L152" si="203">L151/K151-1</f>
        <v>0.1217047393219286</v>
      </c>
      <c r="M152" s="45">
        <f t="shared" ref="M152" si="204">M151/L151-1</f>
        <v>0.1266527440626255</v>
      </c>
      <c r="N152" s="45">
        <f t="shared" ref="N152" si="205">N151/M151-1</f>
        <v>0.12888635371969492</v>
      </c>
      <c r="Q152" s="45">
        <v>0.11974922556901579</v>
      </c>
      <c r="R152" s="148"/>
      <c r="W152" s="40"/>
      <c r="X152" s="40"/>
    </row>
    <row r="153" spans="2:24" s="12" customFormat="1" x14ac:dyDescent="0.3"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148"/>
      <c r="S153" s="33"/>
      <c r="T153" s="33"/>
      <c r="U153" s="33"/>
      <c r="V153" s="33"/>
      <c r="W153" s="32"/>
      <c r="X153" s="32"/>
    </row>
    <row r="154" spans="2:24" s="12" customFormat="1" outlineLevel="1" x14ac:dyDescent="0.3">
      <c r="B154" s="12" t="s">
        <v>46</v>
      </c>
      <c r="D154" s="33">
        <f>D132-D151</f>
        <v>969102</v>
      </c>
      <c r="E154" s="33">
        <f t="shared" ref="E154:P154" si="206">E132-E151</f>
        <v>1131144</v>
      </c>
      <c r="F154" s="33">
        <f t="shared" si="206"/>
        <v>1354566</v>
      </c>
      <c r="G154" s="33">
        <f t="shared" si="206"/>
        <v>1690010</v>
      </c>
      <c r="H154" s="33">
        <f t="shared" si="206"/>
        <v>2092577</v>
      </c>
      <c r="I154" s="33">
        <f t="shared" si="206"/>
        <v>2559380</v>
      </c>
      <c r="J154" s="43">
        <f t="shared" si="206"/>
        <v>3090114.7528143041</v>
      </c>
      <c r="K154" s="43">
        <f t="shared" si="206"/>
        <v>3736892.090651596</v>
      </c>
      <c r="L154" s="43">
        <f t="shared" si="206"/>
        <v>4516678.7738533653</v>
      </c>
      <c r="M154" s="43">
        <f t="shared" si="206"/>
        <v>5445752.8506142572</v>
      </c>
      <c r="N154" s="43">
        <f t="shared" si="206"/>
        <v>6560575.7844076529</v>
      </c>
      <c r="O154" s="43">
        <f t="shared" si="206"/>
        <v>0</v>
      </c>
      <c r="P154" s="43">
        <f t="shared" si="206"/>
        <v>3097154</v>
      </c>
      <c r="Q154" s="43">
        <v>3090114.7528143041</v>
      </c>
      <c r="R154" s="148">
        <f t="shared" si="187"/>
        <v>-2.2728114861888526E-3</v>
      </c>
      <c r="S154" s="33"/>
      <c r="T154" s="33">
        <v>2389383</v>
      </c>
      <c r="U154" s="33">
        <v>2559380</v>
      </c>
      <c r="V154" s="33">
        <v>2889565</v>
      </c>
      <c r="W154" s="46">
        <f t="shared" si="183"/>
        <v>0.20933521331657579</v>
      </c>
      <c r="X154" s="46">
        <f t="shared" si="184"/>
        <v>0.12900976017629273</v>
      </c>
    </row>
    <row r="155" spans="2:24" s="39" customFormat="1" outlineLevel="1" x14ac:dyDescent="0.3">
      <c r="B155" s="39" t="s">
        <v>95</v>
      </c>
      <c r="E155" s="39">
        <f>E154/D154-1</f>
        <v>0.1672084053071814</v>
      </c>
      <c r="F155" s="39">
        <f t="shared" ref="F155:N155" si="207">F154/E154-1</f>
        <v>0.19751861831915307</v>
      </c>
      <c r="G155" s="39">
        <f t="shared" si="207"/>
        <v>0.24763946533428416</v>
      </c>
      <c r="H155" s="39">
        <f t="shared" si="207"/>
        <v>0.23820391595316015</v>
      </c>
      <c r="I155" s="39">
        <f t="shared" si="207"/>
        <v>0.22307566220980157</v>
      </c>
      <c r="J155" s="39">
        <f t="shared" si="207"/>
        <v>0.20736848487301773</v>
      </c>
      <c r="K155" s="39">
        <f t="shared" si="207"/>
        <v>0.20930528138097237</v>
      </c>
      <c r="L155" s="39">
        <f t="shared" si="207"/>
        <v>0.20867251830806799</v>
      </c>
      <c r="M155" s="39">
        <f t="shared" si="207"/>
        <v>0.20569850619867314</v>
      </c>
      <c r="N155" s="39">
        <f t="shared" si="207"/>
        <v>0.20471419918875844</v>
      </c>
      <c r="Q155" s="39">
        <v>0.20736848487301773</v>
      </c>
      <c r="R155" s="148"/>
      <c r="W155" s="53"/>
      <c r="X155" s="53"/>
    </row>
    <row r="156" spans="2:24" outlineLevel="1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148"/>
      <c r="S156" s="35"/>
      <c r="T156" s="35"/>
      <c r="U156" s="35"/>
      <c r="V156" s="35"/>
      <c r="W156" s="52"/>
      <c r="X156" s="52"/>
    </row>
    <row r="157" spans="2:24" ht="15.6" outlineLevel="1" x14ac:dyDescent="0.3">
      <c r="B157" s="135" t="s">
        <v>47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148"/>
      <c r="S157" s="35"/>
      <c r="T157" s="35"/>
      <c r="U157" s="35"/>
      <c r="V157" s="35"/>
    </row>
    <row r="158" spans="2:24" outlineLevel="1" x14ac:dyDescent="0.3">
      <c r="B158" t="s">
        <v>48</v>
      </c>
      <c r="D158" s="35">
        <v>20000</v>
      </c>
      <c r="E158" s="35">
        <v>20000</v>
      </c>
      <c r="F158" s="35">
        <v>20000</v>
      </c>
      <c r="G158" s="35">
        <v>20000</v>
      </c>
      <c r="H158" s="35">
        <v>20000</v>
      </c>
      <c r="I158" s="35">
        <v>20000</v>
      </c>
      <c r="J158" s="35">
        <v>20000</v>
      </c>
      <c r="K158" s="35">
        <v>20000</v>
      </c>
      <c r="L158" s="35">
        <v>20000</v>
      </c>
      <c r="M158" s="35">
        <v>20000</v>
      </c>
      <c r="N158" s="35">
        <v>20000</v>
      </c>
      <c r="O158" s="35"/>
      <c r="P158" s="35">
        <v>20000</v>
      </c>
      <c r="Q158" s="35">
        <v>20000</v>
      </c>
      <c r="R158" s="148">
        <f t="shared" si="187"/>
        <v>0</v>
      </c>
      <c r="S158" s="35"/>
      <c r="T158" s="35">
        <v>20000</v>
      </c>
      <c r="U158" s="35">
        <v>20000</v>
      </c>
      <c r="V158" s="35">
        <v>20000</v>
      </c>
      <c r="W158" s="32">
        <f>V158/T158-1</f>
        <v>0</v>
      </c>
      <c r="X158" s="32">
        <f>V158/U158-1</f>
        <v>0</v>
      </c>
    </row>
    <row r="159" spans="2:24" outlineLevel="1" x14ac:dyDescent="0.3">
      <c r="B159" t="s">
        <v>49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/>
      <c r="P159" s="35">
        <v>0</v>
      </c>
      <c r="Q159" s="35">
        <v>0</v>
      </c>
      <c r="R159" s="148"/>
      <c r="S159" s="35"/>
      <c r="T159" s="35">
        <v>0</v>
      </c>
      <c r="U159" s="35">
        <v>0</v>
      </c>
      <c r="V159" s="35">
        <v>0</v>
      </c>
      <c r="W159" s="32" t="e">
        <f t="shared" ref="W159:W164" si="208">V159/T159-1</f>
        <v>#DIV/0!</v>
      </c>
      <c r="X159" s="32" t="e">
        <f t="shared" ref="X159:X164" si="209">V159/U159-1</f>
        <v>#DIV/0!</v>
      </c>
    </row>
    <row r="160" spans="2:24" outlineLevel="1" x14ac:dyDescent="0.3">
      <c r="B160" t="s">
        <v>50</v>
      </c>
      <c r="D160" s="35">
        <v>799733</v>
      </c>
      <c r="E160" s="35">
        <v>896141</v>
      </c>
      <c r="F160" s="35">
        <v>1037870</v>
      </c>
      <c r="G160" s="35">
        <v>1233149</v>
      </c>
      <c r="H160" s="35">
        <v>1521379</v>
      </c>
      <c r="I160" s="35">
        <v>1885633</v>
      </c>
      <c r="J160" s="41">
        <f>I160+J70-J97</f>
        <v>2416367.1118730512</v>
      </c>
      <c r="K160" s="41">
        <f>J160+K70-K97</f>
        <v>3019527.6408303417</v>
      </c>
      <c r="L160" s="41">
        <f>K160+L70-L97</f>
        <v>3733749.3763576951</v>
      </c>
      <c r="M160" s="41">
        <f>L160+M70-M97</f>
        <v>4565244.6888084356</v>
      </c>
      <c r="N160" s="41">
        <f>M160+N70-N97</f>
        <v>5533107.8813344268</v>
      </c>
      <c r="O160" s="35"/>
      <c r="P160" s="35">
        <v>2318101</v>
      </c>
      <c r="Q160" s="41">
        <v>2416367.1118730512</v>
      </c>
      <c r="R160" s="148">
        <f t="shared" si="187"/>
        <v>4.2390781019917334E-2</v>
      </c>
      <c r="S160" s="35"/>
      <c r="T160" s="35">
        <v>1885996</v>
      </c>
      <c r="U160" s="35">
        <v>1885633</v>
      </c>
      <c r="V160" s="35">
        <v>2318101</v>
      </c>
      <c r="W160" s="32">
        <f t="shared" si="208"/>
        <v>0.22911236291063175</v>
      </c>
      <c r="X160" s="32">
        <f t="shared" si="209"/>
        <v>0.22934897724000369</v>
      </c>
    </row>
    <row r="161" spans="1:30" outlineLevel="1" x14ac:dyDescent="0.3">
      <c r="B161" t="s">
        <v>51</v>
      </c>
      <c r="D161" s="35">
        <v>144739</v>
      </c>
      <c r="E161" s="35">
        <v>210300</v>
      </c>
      <c r="F161" s="35">
        <v>292149</v>
      </c>
      <c r="G161" s="35">
        <v>431672</v>
      </c>
      <c r="H161" s="35">
        <v>545207</v>
      </c>
      <c r="I161" s="35">
        <v>646893</v>
      </c>
      <c r="J161" s="35">
        <v>646893</v>
      </c>
      <c r="K161" s="35">
        <v>646893</v>
      </c>
      <c r="L161" s="35">
        <v>646893</v>
      </c>
      <c r="M161" s="35">
        <v>646893</v>
      </c>
      <c r="N161" s="35">
        <v>646893</v>
      </c>
      <c r="O161" s="35"/>
      <c r="P161" s="35">
        <v>749772</v>
      </c>
      <c r="Q161" s="35">
        <v>646893</v>
      </c>
      <c r="R161" s="148">
        <f t="shared" si="187"/>
        <v>-0.13721371296874252</v>
      </c>
      <c r="S161" s="35"/>
      <c r="T161" s="35">
        <v>475921</v>
      </c>
      <c r="U161" s="35">
        <v>646893</v>
      </c>
      <c r="V161" s="35">
        <v>543330</v>
      </c>
      <c r="W161" s="32">
        <f t="shared" si="208"/>
        <v>0.14163905354039841</v>
      </c>
      <c r="X161" s="32">
        <f t="shared" si="209"/>
        <v>-0.1600929365443744</v>
      </c>
    </row>
    <row r="162" spans="1:30" outlineLevel="1" x14ac:dyDescent="0.3">
      <c r="B162" t="s">
        <v>52</v>
      </c>
      <c r="D162" s="35">
        <v>1049</v>
      </c>
      <c r="E162" s="35">
        <v>792</v>
      </c>
      <c r="F162" s="35">
        <v>564</v>
      </c>
      <c r="G162" s="35">
        <v>1086</v>
      </c>
      <c r="H162" s="35">
        <v>1550</v>
      </c>
      <c r="I162" s="35">
        <v>2050</v>
      </c>
      <c r="J162" s="35">
        <v>2050</v>
      </c>
      <c r="K162" s="35">
        <v>2050</v>
      </c>
      <c r="L162" s="35">
        <v>2050</v>
      </c>
      <c r="M162" s="35">
        <v>2050</v>
      </c>
      <c r="N162" s="35">
        <v>2050</v>
      </c>
      <c r="O162" s="35"/>
      <c r="P162" s="35">
        <v>4475</v>
      </c>
      <c r="Q162" s="35">
        <v>2050</v>
      </c>
      <c r="R162" s="148">
        <f t="shared" si="187"/>
        <v>-0.54189944134078205</v>
      </c>
      <c r="S162" s="35"/>
      <c r="T162" s="35">
        <v>3025</v>
      </c>
      <c r="U162" s="35">
        <v>2050</v>
      </c>
      <c r="V162" s="35">
        <v>3328</v>
      </c>
      <c r="W162" s="32">
        <f t="shared" si="208"/>
        <v>0.10016528925619839</v>
      </c>
      <c r="X162" s="32">
        <f t="shared" si="209"/>
        <v>0.62341463414634157</v>
      </c>
    </row>
    <row r="163" spans="1:30" outlineLevel="1" x14ac:dyDescent="0.3">
      <c r="B163" t="s">
        <v>53</v>
      </c>
      <c r="D163" s="35">
        <v>3581</v>
      </c>
      <c r="E163" s="35">
        <v>3912</v>
      </c>
      <c r="F163" s="35">
        <v>3983</v>
      </c>
      <c r="G163" s="35">
        <v>4123</v>
      </c>
      <c r="H163" s="35">
        <v>4441</v>
      </c>
      <c r="I163" s="35">
        <v>4804</v>
      </c>
      <c r="J163" s="35">
        <v>4804</v>
      </c>
      <c r="K163" s="35">
        <v>4804</v>
      </c>
      <c r="L163" s="35">
        <v>4804</v>
      </c>
      <c r="M163" s="35">
        <v>4804</v>
      </c>
      <c r="N163" s="35">
        <v>4804</v>
      </c>
      <c r="O163" s="35"/>
      <c r="P163" s="35">
        <v>4806</v>
      </c>
      <c r="Q163" s="35">
        <v>4804</v>
      </c>
      <c r="R163" s="148">
        <f t="shared" si="187"/>
        <v>-4.1614648356225192E-4</v>
      </c>
      <c r="S163" s="35"/>
      <c r="T163" s="35">
        <v>4441</v>
      </c>
      <c r="U163" s="35">
        <v>4804</v>
      </c>
      <c r="V163" s="35">
        <v>4806</v>
      </c>
      <c r="W163" s="32">
        <f t="shared" si="208"/>
        <v>8.218869623958569E-2</v>
      </c>
      <c r="X163" s="32">
        <f t="shared" si="209"/>
        <v>4.1631973355538143E-4</v>
      </c>
    </row>
    <row r="164" spans="1:30" s="28" customFormat="1" x14ac:dyDescent="0.3">
      <c r="B164" s="28" t="s">
        <v>54</v>
      </c>
      <c r="D164" s="38">
        <f t="shared" ref="D164:P164" si="210">D158+D159+D160+D161+D162+D163</f>
        <v>969102</v>
      </c>
      <c r="E164" s="38">
        <f t="shared" si="210"/>
        <v>1131145</v>
      </c>
      <c r="F164" s="38">
        <f t="shared" si="210"/>
        <v>1354566</v>
      </c>
      <c r="G164" s="38">
        <f t="shared" si="210"/>
        <v>1690030</v>
      </c>
      <c r="H164" s="38">
        <f t="shared" si="210"/>
        <v>2092577</v>
      </c>
      <c r="I164" s="38">
        <f t="shared" si="210"/>
        <v>2559380</v>
      </c>
      <c r="J164" s="43">
        <f t="shared" si="210"/>
        <v>3090114.1118730512</v>
      </c>
      <c r="K164" s="43">
        <f t="shared" si="210"/>
        <v>3693274.6408303417</v>
      </c>
      <c r="L164" s="43">
        <f t="shared" si="210"/>
        <v>4407496.3763576951</v>
      </c>
      <c r="M164" s="43">
        <f t="shared" si="210"/>
        <v>5238991.6888084356</v>
      </c>
      <c r="N164" s="43">
        <f t="shared" si="210"/>
        <v>6206854.8813344268</v>
      </c>
      <c r="O164" s="43">
        <f t="shared" si="210"/>
        <v>0</v>
      </c>
      <c r="P164" s="43">
        <f t="shared" si="210"/>
        <v>3097154</v>
      </c>
      <c r="Q164" s="43">
        <v>3090114.1118730512</v>
      </c>
      <c r="R164" s="148">
        <f t="shared" si="187"/>
        <v>-2.2730184314209145E-3</v>
      </c>
      <c r="S164" s="38"/>
      <c r="T164" s="38">
        <f>T158+T159+T160+T161+T162+T163</f>
        <v>2389383</v>
      </c>
      <c r="U164" s="38">
        <f>U158+U159+U160+U161+U162+U163</f>
        <v>2559380</v>
      </c>
      <c r="V164" s="38">
        <f>V158+V159+V160+V161+V162+V163</f>
        <v>2889565</v>
      </c>
      <c r="W164" s="32">
        <f t="shared" si="208"/>
        <v>0.20933521331657579</v>
      </c>
      <c r="X164" s="32">
        <f t="shared" si="209"/>
        <v>0.12900976017629273</v>
      </c>
    </row>
    <row r="165" spans="1:30" s="45" customFormat="1" x14ac:dyDescent="0.3">
      <c r="B165" s="45" t="s">
        <v>95</v>
      </c>
      <c r="E165" s="45">
        <f>E164/D164-1</f>
        <v>0.16720943719030612</v>
      </c>
      <c r="F165" s="45">
        <f t="shared" ref="F165:N165" si="211">F164/E164-1</f>
        <v>0.1975175596408949</v>
      </c>
      <c r="G165" s="45">
        <f t="shared" si="211"/>
        <v>0.24765423021100474</v>
      </c>
      <c r="H165" s="45">
        <f t="shared" si="211"/>
        <v>0.23818926291249265</v>
      </c>
      <c r="I165" s="45">
        <f t="shared" si="211"/>
        <v>0.22307566220980157</v>
      </c>
      <c r="J165" s="45">
        <f t="shared" si="211"/>
        <v>0.2073682344446901</v>
      </c>
      <c r="K165" s="45">
        <f t="shared" si="211"/>
        <v>0.195190373921722</v>
      </c>
      <c r="L165" s="45">
        <f t="shared" si="211"/>
        <v>0.19338440949703606</v>
      </c>
      <c r="M165" s="45">
        <f t="shared" si="211"/>
        <v>0.18865479207446989</v>
      </c>
      <c r="N165" s="45">
        <f t="shared" si="211"/>
        <v>0.18474226530909488</v>
      </c>
      <c r="Q165" s="45">
        <v>0.2073682344446901</v>
      </c>
      <c r="R165" s="148"/>
      <c r="W165" s="53"/>
      <c r="X165" s="53"/>
    </row>
    <row r="166" spans="1:30" s="45" customFormat="1" x14ac:dyDescent="0.3">
      <c r="B166" s="45" t="s">
        <v>111</v>
      </c>
      <c r="D166" s="45">
        <f t="shared" ref="D166:I166" si="212">D70/D164</f>
        <v>0.14935373159894419</v>
      </c>
      <c r="E166" s="45">
        <f t="shared" si="212"/>
        <v>0.1885558438573304</v>
      </c>
      <c r="F166" s="45">
        <f t="shared" si="212"/>
        <v>0.21567719845323152</v>
      </c>
      <c r="G166" s="45">
        <f t="shared" si="212"/>
        <v>0.25542268480441177</v>
      </c>
      <c r="H166" s="45">
        <f t="shared" si="212"/>
        <v>0.2605433396238227</v>
      </c>
      <c r="I166" s="45">
        <f t="shared" si="212"/>
        <v>0.25275379193398401</v>
      </c>
      <c r="J166" s="45">
        <f>AVERAGE(G166:I166)</f>
        <v>0.25623993878740614</v>
      </c>
      <c r="K166" s="45">
        <f t="shared" ref="K166:N166" si="213">AVERAGE(E166:J166)</f>
        <v>0.23819879957669776</v>
      </c>
      <c r="L166" s="45">
        <f t="shared" si="213"/>
        <v>0.24647262552992566</v>
      </c>
      <c r="M166" s="45">
        <f t="shared" si="213"/>
        <v>0.2516051967093747</v>
      </c>
      <c r="N166" s="45">
        <f t="shared" si="213"/>
        <v>0.2509689486935352</v>
      </c>
      <c r="Q166" s="45">
        <v>0.25623993878740614</v>
      </c>
      <c r="R166" s="148"/>
      <c r="W166" s="53"/>
      <c r="X166" s="53"/>
    </row>
    <row r="167" spans="1:30" s="45" customFormat="1" x14ac:dyDescent="0.3">
      <c r="I167" s="35"/>
      <c r="O167" s="35"/>
      <c r="P167" s="35"/>
      <c r="R167" s="148"/>
      <c r="W167" s="53"/>
      <c r="X167" s="53"/>
    </row>
    <row r="168" spans="1:30" s="45" customFormat="1" x14ac:dyDescent="0.3">
      <c r="I168" s="35"/>
      <c r="J168" s="35"/>
      <c r="K168" s="35"/>
      <c r="L168" s="35"/>
      <c r="M168" s="35"/>
      <c r="N168" s="35"/>
      <c r="O168" s="35"/>
      <c r="P168" s="35"/>
      <c r="Q168" s="35"/>
      <c r="R168" s="148"/>
      <c r="W168" s="53"/>
      <c r="X168" s="53"/>
    </row>
    <row r="169" spans="1:30" s="28" customFormat="1" x14ac:dyDescent="0.3">
      <c r="B169" s="28" t="s">
        <v>175</v>
      </c>
      <c r="D169" s="38">
        <f t="shared" ref="D169:P169" si="214">D164+D151</f>
        <v>6417427</v>
      </c>
      <c r="E169" s="38">
        <f t="shared" si="214"/>
        <v>7058632</v>
      </c>
      <c r="F169" s="38">
        <f t="shared" si="214"/>
        <v>8681421</v>
      </c>
      <c r="G169" s="38">
        <f t="shared" si="214"/>
        <v>10234552</v>
      </c>
      <c r="H169" s="38">
        <f t="shared" si="214"/>
        <v>12179562</v>
      </c>
      <c r="I169" s="38">
        <f t="shared" si="214"/>
        <v>13735690</v>
      </c>
      <c r="J169" s="43">
        <f t="shared" si="214"/>
        <v>15604778.579092298</v>
      </c>
      <c r="K169" s="43">
        <f t="shared" si="214"/>
        <v>17910913.78007552</v>
      </c>
      <c r="L169" s="43">
        <f t="shared" si="214"/>
        <v>20355489.580817953</v>
      </c>
      <c r="M169" s="43">
        <f t="shared" si="214"/>
        <v>23206841.994905688</v>
      </c>
      <c r="N169" s="43">
        <f t="shared" si="214"/>
        <v>26490515.89756586</v>
      </c>
      <c r="O169" s="43">
        <f t="shared" si="214"/>
        <v>0</v>
      </c>
      <c r="P169" s="43">
        <f t="shared" si="214"/>
        <v>17182708</v>
      </c>
      <c r="Q169" s="43">
        <v>15604778.579092298</v>
      </c>
      <c r="R169" s="148">
        <f t="shared" si="187"/>
        <v>-9.1832406213718021E-2</v>
      </c>
      <c r="S169" s="38"/>
      <c r="T169" s="38"/>
      <c r="U169" s="38"/>
      <c r="V169" s="38"/>
      <c r="W169" s="131"/>
      <c r="X169" s="131"/>
    </row>
    <row r="170" spans="1:30" s="12" customFormat="1" x14ac:dyDescent="0.3"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147"/>
      <c r="S170" s="33"/>
      <c r="T170" s="33"/>
      <c r="U170" s="33"/>
      <c r="V170" s="33"/>
      <c r="W170" s="52"/>
      <c r="X170" s="52"/>
    </row>
    <row r="171" spans="1:30" s="12" customFormat="1" x14ac:dyDescent="0.3"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147"/>
      <c r="S171" s="33"/>
      <c r="T171" s="33"/>
      <c r="U171" s="33"/>
      <c r="V171" s="33"/>
      <c r="W171" s="52"/>
      <c r="X171" s="52"/>
    </row>
    <row r="172" spans="1:30" x14ac:dyDescent="0.3">
      <c r="A172" s="5"/>
      <c r="B172" s="18" t="s">
        <v>17</v>
      </c>
      <c r="C172" s="18"/>
      <c r="D172" s="129">
        <v>43830</v>
      </c>
      <c r="E172" s="129">
        <f>EOMONTH(D172,12)</f>
        <v>44196</v>
      </c>
      <c r="F172" s="129">
        <f t="shared" ref="F172:I172" si="215">EOMONTH(E172,12)</f>
        <v>44561</v>
      </c>
      <c r="G172" s="129">
        <f>EOMONTH(F172,12)</f>
        <v>44926</v>
      </c>
      <c r="H172" s="129">
        <f t="shared" si="215"/>
        <v>45291</v>
      </c>
      <c r="I172" s="129">
        <f t="shared" si="215"/>
        <v>45657</v>
      </c>
      <c r="J172" s="20">
        <v>46022</v>
      </c>
      <c r="K172" s="20">
        <v>46387</v>
      </c>
      <c r="L172" s="20">
        <v>46752</v>
      </c>
      <c r="M172" s="20">
        <v>47118</v>
      </c>
      <c r="N172" s="20">
        <v>47483</v>
      </c>
      <c r="Q172" s="20">
        <v>46022</v>
      </c>
      <c r="R172" s="147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3">
      <c r="A173" s="5"/>
      <c r="B173" s="21" t="s">
        <v>18</v>
      </c>
      <c r="C173" s="21"/>
      <c r="D173" s="22">
        <v>2019</v>
      </c>
      <c r="E173" s="22">
        <v>2020</v>
      </c>
      <c r="F173" s="22">
        <v>2021</v>
      </c>
      <c r="G173" s="22">
        <v>2022</v>
      </c>
      <c r="H173" s="22">
        <v>2023</v>
      </c>
      <c r="I173" s="22">
        <v>2024</v>
      </c>
      <c r="J173" s="22">
        <v>2025</v>
      </c>
      <c r="K173" s="22">
        <v>2026</v>
      </c>
      <c r="L173" s="22">
        <v>2027</v>
      </c>
      <c r="M173" s="22">
        <v>2028</v>
      </c>
      <c r="N173" s="22">
        <v>2029</v>
      </c>
      <c r="Q173" s="22">
        <v>2025</v>
      </c>
      <c r="R173" s="147"/>
      <c r="S173" s="5"/>
      <c r="T173" s="23" t="s">
        <v>20</v>
      </c>
      <c r="U173" s="23" t="s">
        <v>19</v>
      </c>
      <c r="V173" s="23" t="s">
        <v>21</v>
      </c>
      <c r="W173" s="23" t="s">
        <v>77</v>
      </c>
      <c r="X173" s="23" t="s">
        <v>78</v>
      </c>
      <c r="Z173" s="5"/>
      <c r="AA173" s="24"/>
      <c r="AB173" s="24"/>
      <c r="AC173" s="5"/>
      <c r="AD173" s="5"/>
    </row>
    <row r="174" spans="1:30" ht="18.600000000000001" thickBot="1" x14ac:dyDescent="0.4">
      <c r="A174" s="5"/>
      <c r="B174" s="25" t="s">
        <v>91</v>
      </c>
      <c r="C174" s="25" t="s">
        <v>165</v>
      </c>
      <c r="D174" s="25"/>
      <c r="E174" s="25"/>
      <c r="F174" s="25"/>
      <c r="G174" s="26"/>
      <c r="H174" s="25"/>
      <c r="I174" s="26"/>
      <c r="J174" s="25"/>
      <c r="K174" s="25"/>
      <c r="L174" s="25"/>
      <c r="M174" s="25"/>
      <c r="N174" s="25"/>
      <c r="O174" s="25"/>
      <c r="P174" s="25"/>
      <c r="Q174" s="25"/>
      <c r="R174" s="147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" thickTop="1" x14ac:dyDescent="0.3">
      <c r="B175" t="s">
        <v>55</v>
      </c>
      <c r="D175" s="35">
        <v>652654</v>
      </c>
      <c r="E175" s="35">
        <v>624881</v>
      </c>
      <c r="F175" s="35">
        <v>1233761</v>
      </c>
      <c r="G175" s="35">
        <v>1952430</v>
      </c>
      <c r="H175" s="35">
        <v>2415986</v>
      </c>
      <c r="I175" s="35">
        <v>2469325</v>
      </c>
      <c r="J175" s="35"/>
      <c r="K175" s="35"/>
      <c r="L175" s="35"/>
      <c r="M175" s="35"/>
      <c r="N175" s="35"/>
      <c r="O175" s="35"/>
      <c r="P175" s="35">
        <v>4624665</v>
      </c>
      <c r="Q175" s="35"/>
      <c r="R175" s="147"/>
      <c r="S175" s="35"/>
      <c r="T175" s="35">
        <v>248025</v>
      </c>
      <c r="U175" s="35">
        <v>2469325</v>
      </c>
      <c r="V175" s="35">
        <v>3952539</v>
      </c>
      <c r="W175" s="32">
        <f>V175/T175-1</f>
        <v>14.936050801330511</v>
      </c>
      <c r="X175" s="32">
        <f>V175/U175-1</f>
        <v>0.60065564476122013</v>
      </c>
    </row>
    <row r="176" spans="1:30" x14ac:dyDescent="0.3">
      <c r="B176" t="s">
        <v>56</v>
      </c>
      <c r="D176" s="35">
        <v>178533</v>
      </c>
      <c r="E176" s="35">
        <v>231267</v>
      </c>
      <c r="F176" s="35">
        <v>194548</v>
      </c>
      <c r="G176" s="35">
        <v>195093</v>
      </c>
      <c r="H176" s="35">
        <v>253151</v>
      </c>
      <c r="I176" s="35">
        <v>257893</v>
      </c>
      <c r="J176" s="41">
        <f>J124*J178</f>
        <v>298797.48201005469</v>
      </c>
      <c r="K176" s="41">
        <f>K124*K178</f>
        <v>343910.50860006118</v>
      </c>
      <c r="L176" s="41">
        <f>L124*L178</f>
        <v>380725.83614723687</v>
      </c>
      <c r="M176" s="41">
        <f>M124*M178</f>
        <v>433415.86855604145</v>
      </c>
      <c r="N176" s="41">
        <f>N124*N178</f>
        <v>490593.14150873746</v>
      </c>
      <c r="O176" s="35"/>
      <c r="P176" s="35">
        <v>267105</v>
      </c>
      <c r="Q176" s="41">
        <v>298797.48201005469</v>
      </c>
      <c r="R176" s="147">
        <f t="shared" si="187"/>
        <v>0.1186517736847108</v>
      </c>
      <c r="S176" s="35"/>
      <c r="T176" s="35">
        <v>260516</v>
      </c>
      <c r="U176" s="35">
        <v>257893</v>
      </c>
      <c r="V176" s="35">
        <v>267181</v>
      </c>
      <c r="W176" s="32">
        <f t="shared" ref="W176:W182" si="216">V176/T176-1</f>
        <v>2.5583841299574583E-2</v>
      </c>
      <c r="X176" s="32">
        <f t="shared" ref="X176:X182" si="217">V176/U176-1</f>
        <v>3.6014936427122946E-2</v>
      </c>
    </row>
    <row r="177" spans="2:24" s="39" customFormat="1" x14ac:dyDescent="0.3">
      <c r="B177" s="39" t="s">
        <v>95</v>
      </c>
      <c r="E177" s="39">
        <f>E176/D176-1</f>
        <v>0.29537396447715558</v>
      </c>
      <c r="F177" s="39">
        <f t="shared" ref="F177:I177" si="218">F176/E176-1</f>
        <v>-0.15877319288960379</v>
      </c>
      <c r="G177" s="39">
        <f t="shared" si="218"/>
        <v>2.8013652157821145E-3</v>
      </c>
      <c r="H177" s="39">
        <f t="shared" si="218"/>
        <v>0.29759140512473548</v>
      </c>
      <c r="I177" s="39">
        <f t="shared" si="218"/>
        <v>1.8731903093410551E-2</v>
      </c>
      <c r="J177" s="39">
        <f t="shared" ref="J177" si="219">J176/I176-1</f>
        <v>0.15861028414906442</v>
      </c>
      <c r="K177" s="39">
        <f t="shared" ref="K177" si="220">K176/J176-1</f>
        <v>0.15098195033815043</v>
      </c>
      <c r="L177" s="39">
        <f t="shared" ref="L177" si="221">L176/K176-1</f>
        <v>0.10704914978329083</v>
      </c>
      <c r="M177" s="39">
        <f t="shared" ref="M177" si="222">M176/L176-1</f>
        <v>0.13839363501569135</v>
      </c>
      <c r="N177" s="39">
        <f t="shared" ref="N177" si="223">N176/M176-1</f>
        <v>0.1319224262443055</v>
      </c>
      <c r="Q177" s="39">
        <v>0.15861028414906442</v>
      </c>
      <c r="R177" s="147"/>
      <c r="W177" s="32"/>
      <c r="X177" s="32"/>
    </row>
    <row r="178" spans="2:24" s="39" customFormat="1" x14ac:dyDescent="0.3">
      <c r="B178" s="39" t="s">
        <v>110</v>
      </c>
      <c r="D178" s="55">
        <f t="shared" ref="D178:I178" si="224">D176/D124</f>
        <v>4.9730557553385707E-2</v>
      </c>
      <c r="E178" s="55">
        <f t="shared" si="224"/>
        <v>5.6284530302702113E-2</v>
      </c>
      <c r="F178" s="55">
        <f t="shared" si="224"/>
        <v>4.1802922388440057E-2</v>
      </c>
      <c r="G178" s="55">
        <f t="shared" si="224"/>
        <v>3.2436554831632276E-2</v>
      </c>
      <c r="H178" s="55">
        <f t="shared" si="224"/>
        <v>3.2847212085235035E-2</v>
      </c>
      <c r="I178" s="55">
        <f t="shared" si="224"/>
        <v>3.0345076063015456E-2</v>
      </c>
      <c r="J178" s="42">
        <f>AVERAGE(G178:I178)</f>
        <v>3.1876280993294252E-2</v>
      </c>
      <c r="K178" s="42">
        <f t="shared" ref="K178:N178" si="225">AVERAGE(H178:J178)</f>
        <v>3.1689523047181582E-2</v>
      </c>
      <c r="L178" s="42">
        <f t="shared" si="225"/>
        <v>3.1303626701163767E-2</v>
      </c>
      <c r="M178" s="42">
        <f t="shared" si="225"/>
        <v>3.1623143580546534E-2</v>
      </c>
      <c r="N178" s="42">
        <f t="shared" si="225"/>
        <v>3.1538764442963961E-2</v>
      </c>
      <c r="Q178" s="42">
        <v>3.1876280993294252E-2</v>
      </c>
      <c r="R178" s="147"/>
      <c r="W178" s="32"/>
      <c r="X178" s="32"/>
    </row>
    <row r="179" spans="2:24" x14ac:dyDescent="0.3"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147"/>
      <c r="S179" s="35"/>
      <c r="T179" s="35"/>
      <c r="U179" s="35"/>
      <c r="V179" s="35"/>
      <c r="W179" s="32"/>
      <c r="X179" s="32"/>
    </row>
    <row r="180" spans="2:24" x14ac:dyDescent="0.3">
      <c r="B180" t="s">
        <v>57</v>
      </c>
      <c r="D180" s="35">
        <v>173110</v>
      </c>
      <c r="E180" s="35">
        <v>204809</v>
      </c>
      <c r="F180" s="35">
        <v>209986</v>
      </c>
      <c r="G180" s="35">
        <v>228073</v>
      </c>
      <c r="H180" s="35">
        <v>242701</v>
      </c>
      <c r="I180" s="35">
        <v>240544</v>
      </c>
      <c r="J180" s="41">
        <v>240544</v>
      </c>
      <c r="K180" s="41">
        <v>240544</v>
      </c>
      <c r="L180" s="41">
        <v>240544</v>
      </c>
      <c r="M180" s="41">
        <v>240544</v>
      </c>
      <c r="N180" s="41">
        <v>240544</v>
      </c>
      <c r="O180" s="35"/>
      <c r="P180" s="35">
        <v>257927</v>
      </c>
      <c r="Q180" s="41">
        <v>240544</v>
      </c>
      <c r="R180" s="147">
        <f t="shared" si="187"/>
        <v>-6.7395038130944052E-2</v>
      </c>
      <c r="S180" s="35"/>
      <c r="T180" s="35">
        <v>263782</v>
      </c>
      <c r="U180" s="35">
        <v>240544</v>
      </c>
      <c r="V180" s="35">
        <v>271212</v>
      </c>
      <c r="W180" s="32">
        <f t="shared" si="216"/>
        <v>2.8167198671630311E-2</v>
      </c>
      <c r="X180" s="32">
        <f t="shared" si="217"/>
        <v>0.12749434614872945</v>
      </c>
    </row>
    <row r="181" spans="2:24" s="39" customFormat="1" x14ac:dyDescent="0.3">
      <c r="B181" s="39" t="s">
        <v>169</v>
      </c>
      <c r="D181" s="39">
        <f>D180/D176</f>
        <v>0.96962466322752661</v>
      </c>
      <c r="E181" s="39">
        <f t="shared" ref="E181:H181" si="226">E180/E176</f>
        <v>0.88559543730839252</v>
      </c>
      <c r="F181" s="39">
        <f t="shared" si="226"/>
        <v>1.0793531673417358</v>
      </c>
      <c r="G181" s="39">
        <f t="shared" si="226"/>
        <v>1.1690475824350437</v>
      </c>
      <c r="H181" s="39">
        <f t="shared" si="226"/>
        <v>0.95872028947150123</v>
      </c>
      <c r="I181" s="39">
        <f>I180/I176</f>
        <v>0.93272791429003499</v>
      </c>
      <c r="J181" s="39">
        <f t="shared" ref="J181:N181" si="227">J180/J176</f>
        <v>0.80504025128265833</v>
      </c>
      <c r="K181" s="39">
        <f t="shared" si="227"/>
        <v>0.69943777228317361</v>
      </c>
      <c r="L181" s="39">
        <f t="shared" si="227"/>
        <v>0.63180372110858063</v>
      </c>
      <c r="M181" s="39">
        <f t="shared" si="227"/>
        <v>0.55499583068195213</v>
      </c>
      <c r="N181" s="39">
        <f t="shared" si="227"/>
        <v>0.4903126025370983</v>
      </c>
      <c r="Q181" s="39">
        <v>0.80504025128265833</v>
      </c>
      <c r="R181" s="147"/>
      <c r="W181" s="40"/>
      <c r="X181" s="40"/>
    </row>
    <row r="182" spans="2:24" x14ac:dyDescent="0.3">
      <c r="B182" t="s">
        <v>58</v>
      </c>
      <c r="D182" s="35">
        <v>196</v>
      </c>
      <c r="E182" s="35">
        <v>10055</v>
      </c>
      <c r="F182" s="35">
        <v>4809</v>
      </c>
      <c r="G182" s="35">
        <v>3344</v>
      </c>
      <c r="H182" s="35">
        <v>10057</v>
      </c>
      <c r="I182" s="35">
        <v>4523</v>
      </c>
      <c r="J182" s="35"/>
      <c r="K182" s="35"/>
      <c r="L182" s="35"/>
      <c r="M182" s="35"/>
      <c r="N182" s="35"/>
      <c r="O182" s="35"/>
      <c r="P182" s="35">
        <v>617</v>
      </c>
      <c r="Q182" s="35"/>
      <c r="R182" s="147">
        <f t="shared" si="187"/>
        <v>-1</v>
      </c>
      <c r="S182" s="35"/>
      <c r="T182" s="35">
        <v>3625</v>
      </c>
      <c r="U182" s="35">
        <v>4523</v>
      </c>
      <c r="V182" s="35">
        <v>538</v>
      </c>
      <c r="W182" s="32">
        <f t="shared" si="216"/>
        <v>-0.85158620689655173</v>
      </c>
      <c r="X182" s="32">
        <f t="shared" si="217"/>
        <v>-0.88105239885032061</v>
      </c>
    </row>
    <row r="186" spans="2:24" ht="21.6" thickBot="1" x14ac:dyDescent="0.45">
      <c r="B186" s="56" t="s">
        <v>112</v>
      </c>
      <c r="C186" s="5"/>
      <c r="D186" s="57"/>
      <c r="E186" s="57"/>
      <c r="F186" s="57"/>
      <c r="G186" s="57"/>
      <c r="H186" s="5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2:24" x14ac:dyDescent="0.3">
      <c r="B187" s="18" t="s">
        <v>17</v>
      </c>
      <c r="C187" s="58"/>
      <c r="D187" s="19">
        <v>43830</v>
      </c>
      <c r="E187" s="19">
        <v>44196</v>
      </c>
      <c r="F187" s="19">
        <v>44561</v>
      </c>
      <c r="G187" s="19">
        <v>44926</v>
      </c>
      <c r="H187" s="19">
        <v>45291</v>
      </c>
      <c r="I187" s="19">
        <v>45657</v>
      </c>
      <c r="J187" s="59">
        <v>46022</v>
      </c>
      <c r="K187" s="59">
        <v>46387</v>
      </c>
      <c r="L187" s="59">
        <v>46752</v>
      </c>
      <c r="M187" s="59">
        <v>47118</v>
      </c>
      <c r="N187" s="59">
        <v>47483</v>
      </c>
      <c r="S187" s="5"/>
      <c r="T187" s="5"/>
      <c r="U187" s="5"/>
    </row>
    <row r="188" spans="2:24" x14ac:dyDescent="0.3">
      <c r="B188" s="21" t="s">
        <v>18</v>
      </c>
      <c r="C188" s="58"/>
      <c r="D188" s="22">
        <v>2019</v>
      </c>
      <c r="E188" s="22">
        <v>2020</v>
      </c>
      <c r="F188" s="22">
        <v>2021</v>
      </c>
      <c r="G188" s="22">
        <v>2022</v>
      </c>
      <c r="H188" s="22">
        <v>2023</v>
      </c>
      <c r="I188" s="22">
        <v>2024</v>
      </c>
      <c r="J188" s="22">
        <v>2025</v>
      </c>
      <c r="K188" s="22">
        <v>2026</v>
      </c>
      <c r="L188" s="22">
        <v>2027</v>
      </c>
      <c r="M188" s="22">
        <v>2028</v>
      </c>
      <c r="N188" s="22">
        <v>2029</v>
      </c>
      <c r="S188" s="5"/>
      <c r="T188" s="5"/>
      <c r="U188" s="5"/>
    </row>
    <row r="189" spans="2:24" ht="15" thickBot="1" x14ac:dyDescent="0.3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S189" s="5"/>
      <c r="T189" s="5"/>
      <c r="U189" s="5"/>
    </row>
    <row r="190" spans="2:24" ht="15" thickBot="1" x14ac:dyDescent="0.35">
      <c r="B190" s="60" t="s">
        <v>113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S190" s="5"/>
      <c r="T190" s="5"/>
      <c r="U190" s="5"/>
    </row>
    <row r="191" spans="2:24" x14ac:dyDescent="0.3">
      <c r="B191" s="5" t="s">
        <v>114</v>
      </c>
      <c r="C191" s="5"/>
      <c r="D191" s="61">
        <f t="shared" ref="D191:N191" si="228">D70</f>
        <v>144739</v>
      </c>
      <c r="E191" s="61">
        <f t="shared" si="228"/>
        <v>213284</v>
      </c>
      <c r="F191" s="61">
        <f t="shared" si="228"/>
        <v>292149</v>
      </c>
      <c r="G191" s="61">
        <f t="shared" si="228"/>
        <v>431672</v>
      </c>
      <c r="H191" s="61">
        <f t="shared" si="228"/>
        <v>545207</v>
      </c>
      <c r="I191" s="61">
        <f t="shared" si="228"/>
        <v>646893</v>
      </c>
      <c r="J191" s="61">
        <f t="shared" si="228"/>
        <v>793565.97451776871</v>
      </c>
      <c r="K191" s="61">
        <f t="shared" si="228"/>
        <v>901881.76246129454</v>
      </c>
      <c r="L191" s="61">
        <f t="shared" si="228"/>
        <v>1068035.2286843616</v>
      </c>
      <c r="M191" s="61">
        <f t="shared" si="228"/>
        <v>1243234.1254545166</v>
      </c>
      <c r="N191" s="61">
        <f t="shared" si="228"/>
        <v>1447127.9453868242</v>
      </c>
      <c r="S191" s="5"/>
      <c r="T191" s="5"/>
      <c r="U191" s="5"/>
    </row>
    <row r="192" spans="2:24" x14ac:dyDescent="0.3">
      <c r="B192" s="5" t="s">
        <v>115</v>
      </c>
      <c r="C192" s="5"/>
      <c r="D192" s="117">
        <f>D191/$C$6</f>
        <v>289.47800000000001</v>
      </c>
      <c r="E192" s="117">
        <f t="shared" ref="E192:N192" si="229">E191/$C$6</f>
        <v>426.56799999999998</v>
      </c>
      <c r="F192" s="117">
        <f t="shared" si="229"/>
        <v>584.298</v>
      </c>
      <c r="G192" s="117">
        <f t="shared" si="229"/>
        <v>863.34400000000005</v>
      </c>
      <c r="H192" s="117">
        <f t="shared" si="229"/>
        <v>1090.414</v>
      </c>
      <c r="I192" s="117">
        <f>I191/$C$6</f>
        <v>1293.7860000000001</v>
      </c>
      <c r="J192" s="117">
        <f t="shared" si="229"/>
        <v>1587.1319490355374</v>
      </c>
      <c r="K192" s="117">
        <f t="shared" si="229"/>
        <v>1803.7635249225891</v>
      </c>
      <c r="L192" s="117">
        <f t="shared" si="229"/>
        <v>2136.0704573687231</v>
      </c>
      <c r="M192" s="117">
        <f t="shared" si="229"/>
        <v>2486.468250909033</v>
      </c>
      <c r="N192" s="117">
        <f t="shared" si="229"/>
        <v>2894.2558907736484</v>
      </c>
      <c r="S192" s="5"/>
      <c r="T192" s="5"/>
      <c r="U192" s="5"/>
    </row>
    <row r="193" spans="2:21" s="39" customFormat="1" ht="13.8" x14ac:dyDescent="0.3">
      <c r="B193" s="39" t="s">
        <v>95</v>
      </c>
      <c r="E193" s="39">
        <f>E192/D192-1</f>
        <v>0.47357657576741574</v>
      </c>
      <c r="F193" s="39">
        <f t="shared" ref="F193:N193" si="230">F192/E192-1</f>
        <v>0.36976519570150601</v>
      </c>
      <c r="G193" s="39">
        <f t="shared" si="230"/>
        <v>0.47757479916070222</v>
      </c>
      <c r="H193" s="39">
        <f t="shared" si="230"/>
        <v>0.26301219444392965</v>
      </c>
      <c r="I193" s="39">
        <f t="shared" si="230"/>
        <v>0.18650897732420901</v>
      </c>
      <c r="J193" s="39">
        <f t="shared" si="230"/>
        <v>0.22673452103789749</v>
      </c>
      <c r="K193" s="39">
        <f t="shared" si="230"/>
        <v>0.13649248004785841</v>
      </c>
      <c r="L193" s="39">
        <f t="shared" si="230"/>
        <v>0.1842297661831227</v>
      </c>
      <c r="M193" s="39">
        <f t="shared" si="230"/>
        <v>0.164038499915373</v>
      </c>
      <c r="N193" s="39">
        <f t="shared" si="230"/>
        <v>0.16400275359057237</v>
      </c>
      <c r="O193" s="137">
        <f>AVERAGE(I193:N193)</f>
        <v>0.17700116634983884</v>
      </c>
      <c r="P193" s="137"/>
      <c r="Q193" s="137"/>
      <c r="R193" s="137"/>
    </row>
    <row r="194" spans="2:21" x14ac:dyDescent="0.3">
      <c r="B194" s="5" t="s">
        <v>116</v>
      </c>
      <c r="C194" s="5"/>
      <c r="D194" s="35">
        <v>289</v>
      </c>
      <c r="E194" s="35">
        <v>420</v>
      </c>
      <c r="F194" s="35">
        <v>584</v>
      </c>
      <c r="G194" s="35">
        <v>863</v>
      </c>
      <c r="H194" s="35">
        <v>1010</v>
      </c>
      <c r="I194" s="35">
        <v>1205</v>
      </c>
      <c r="J194" s="5"/>
      <c r="K194" s="5"/>
      <c r="L194" s="5"/>
      <c r="M194" s="5"/>
      <c r="N194" s="5"/>
      <c r="S194" s="5"/>
      <c r="T194" s="5"/>
      <c r="U194" s="5"/>
    </row>
    <row r="195" spans="2:21" x14ac:dyDescent="0.3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S195" s="5"/>
      <c r="T195" s="5"/>
      <c r="U195" s="5"/>
    </row>
    <row r="196" spans="2:21" ht="15" thickBot="1" x14ac:dyDescent="0.35">
      <c r="B196" s="62" t="s">
        <v>117</v>
      </c>
      <c r="C196" s="5"/>
      <c r="D196" s="63"/>
      <c r="E196" s="63"/>
      <c r="F196" s="63"/>
      <c r="G196" s="63"/>
      <c r="H196" s="63"/>
      <c r="I196" s="63"/>
      <c r="J196" s="138"/>
      <c r="K196" s="63"/>
      <c r="L196" s="63"/>
      <c r="M196" s="63"/>
      <c r="N196" s="63"/>
      <c r="S196" s="5"/>
      <c r="T196" s="5"/>
      <c r="U196" s="5"/>
    </row>
    <row r="197" spans="2:21" x14ac:dyDescent="0.3">
      <c r="B197" s="16" t="s">
        <v>118</v>
      </c>
      <c r="C197" s="5"/>
      <c r="D197" s="5"/>
      <c r="E197" s="5"/>
      <c r="F197" s="5"/>
      <c r="G197" s="5"/>
      <c r="H197" s="5"/>
      <c r="I197" s="118">
        <f>$C$4/I192</f>
        <v>7.0027036928827489</v>
      </c>
      <c r="J197" s="118">
        <f>I197*((1+O193)/(1+J221))</f>
        <v>6.7976828157734586</v>
      </c>
      <c r="K197" s="118">
        <f>J197*((1+S193)/(1+K221))</f>
        <v>5.6063363429059461</v>
      </c>
      <c r="L197" s="118">
        <v>5.74</v>
      </c>
      <c r="M197" s="118">
        <v>5.74</v>
      </c>
      <c r="N197" s="118">
        <v>5.74</v>
      </c>
      <c r="O197" s="5"/>
      <c r="P197" s="5"/>
      <c r="Q197" s="5"/>
      <c r="R197" s="5"/>
      <c r="S197" s="5"/>
      <c r="T197" s="5"/>
      <c r="U197" s="5"/>
    </row>
    <row r="198" spans="2:21" x14ac:dyDescent="0.3">
      <c r="B198" s="5" t="s">
        <v>119</v>
      </c>
      <c r="C198" s="64"/>
      <c r="D198" s="61">
        <f>D164</f>
        <v>969102</v>
      </c>
      <c r="E198" s="61">
        <f t="shared" ref="E198:M198" si="231">E164</f>
        <v>1131145</v>
      </c>
      <c r="F198" s="61">
        <f t="shared" si="231"/>
        <v>1354566</v>
      </c>
      <c r="G198" s="61">
        <f t="shared" si="231"/>
        <v>1690030</v>
      </c>
      <c r="H198" s="61">
        <f t="shared" si="231"/>
        <v>2092577</v>
      </c>
      <c r="I198" s="61">
        <f t="shared" si="231"/>
        <v>2559380</v>
      </c>
      <c r="J198" s="61">
        <f t="shared" si="231"/>
        <v>3090114.1118730512</v>
      </c>
      <c r="K198" s="61">
        <f t="shared" si="231"/>
        <v>3693274.6408303417</v>
      </c>
      <c r="L198" s="61">
        <f t="shared" si="231"/>
        <v>4407496.3763576951</v>
      </c>
      <c r="M198" s="61">
        <f t="shared" si="231"/>
        <v>5238991.6888084356</v>
      </c>
      <c r="N198" s="61">
        <f>N164</f>
        <v>6206854.8813344268</v>
      </c>
      <c r="S198" s="5"/>
      <c r="T198" s="5"/>
      <c r="U198" s="5"/>
    </row>
    <row r="199" spans="2:21" s="39" customFormat="1" ht="13.8" x14ac:dyDescent="0.3">
      <c r="B199" s="39" t="s">
        <v>95</v>
      </c>
      <c r="C199" s="120"/>
      <c r="E199" s="39">
        <f>E198/D198-1</f>
        <v>0.16720943719030612</v>
      </c>
      <c r="F199" s="39">
        <f t="shared" ref="F199:N199" si="232">F198/E198-1</f>
        <v>0.1975175596408949</v>
      </c>
      <c r="G199" s="39">
        <f t="shared" si="232"/>
        <v>0.24765423021100474</v>
      </c>
      <c r="H199" s="39">
        <f t="shared" si="232"/>
        <v>0.23818926291249265</v>
      </c>
      <c r="I199" s="39">
        <f t="shared" si="232"/>
        <v>0.22307566220980157</v>
      </c>
      <c r="J199" s="39">
        <f t="shared" si="232"/>
        <v>0.2073682344446901</v>
      </c>
      <c r="K199" s="39">
        <f t="shared" si="232"/>
        <v>0.195190373921722</v>
      </c>
      <c r="L199" s="39">
        <f t="shared" si="232"/>
        <v>0.19338440949703606</v>
      </c>
      <c r="M199" s="39">
        <f t="shared" si="232"/>
        <v>0.18865479207446989</v>
      </c>
      <c r="N199" s="39">
        <f t="shared" si="232"/>
        <v>0.18474226530909488</v>
      </c>
      <c r="O199" s="128"/>
      <c r="P199" s="128"/>
      <c r="Q199" s="128"/>
      <c r="R199" s="128"/>
    </row>
    <row r="200" spans="2:21" x14ac:dyDescent="0.3">
      <c r="B200" s="5" t="s">
        <v>120</v>
      </c>
      <c r="C200" s="64"/>
      <c r="D200" s="117">
        <f>D198/$C$6</f>
        <v>1938.204</v>
      </c>
      <c r="E200" s="117">
        <f t="shared" ref="E200:M200" si="233">E198/$C$6</f>
        <v>2262.29</v>
      </c>
      <c r="F200" s="117">
        <f t="shared" si="233"/>
        <v>2709.1320000000001</v>
      </c>
      <c r="G200" s="117">
        <f t="shared" si="233"/>
        <v>3380.06</v>
      </c>
      <c r="H200" s="117">
        <f t="shared" si="233"/>
        <v>4185.1540000000005</v>
      </c>
      <c r="I200" s="117">
        <f>I198/$C$6</f>
        <v>5118.76</v>
      </c>
      <c r="J200" s="117">
        <f t="shared" si="233"/>
        <v>6180.2282237461022</v>
      </c>
      <c r="K200" s="117">
        <f t="shared" si="233"/>
        <v>7386.5492816606838</v>
      </c>
      <c r="L200" s="117">
        <f t="shared" si="233"/>
        <v>8814.9927527153905</v>
      </c>
      <c r="M200" s="117">
        <f t="shared" si="233"/>
        <v>10477.983377616871</v>
      </c>
      <c r="N200" s="117">
        <f>N198/$C$6</f>
        <v>12413.709762668854</v>
      </c>
      <c r="S200" s="5"/>
      <c r="T200" s="5"/>
      <c r="U200" s="5"/>
    </row>
    <row r="201" spans="2:21" x14ac:dyDescent="0.3">
      <c r="B201" s="5"/>
      <c r="C201" s="6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S201" s="5"/>
      <c r="T201" s="5"/>
      <c r="U201" s="5"/>
    </row>
    <row r="202" spans="2:21" x14ac:dyDescent="0.3">
      <c r="B202" s="16" t="s">
        <v>121</v>
      </c>
      <c r="C202" s="64"/>
      <c r="D202" s="119">
        <f t="shared" ref="D202:I202" si="234">(D203-D204)/(D221-D204)</f>
        <v>0.70284108987738447</v>
      </c>
      <c r="E202" s="119">
        <f t="shared" si="234"/>
        <v>0.88732161815214305</v>
      </c>
      <c r="F202" s="119">
        <f t="shared" si="234"/>
        <v>1.0149515221328542</v>
      </c>
      <c r="G202" s="119">
        <f t="shared" si="234"/>
        <v>1.2019891049619378</v>
      </c>
      <c r="H202" s="119">
        <f t="shared" si="234"/>
        <v>1.2260863041121068</v>
      </c>
      <c r="I202" s="119">
        <f t="shared" si="234"/>
        <v>1.9255694330671498</v>
      </c>
      <c r="J202" s="119">
        <v>1.57</v>
      </c>
      <c r="K202" s="119">
        <v>1.57</v>
      </c>
      <c r="L202" s="119">
        <v>1.57</v>
      </c>
      <c r="M202" s="119">
        <v>1.57</v>
      </c>
      <c r="N202" s="119">
        <v>1.57</v>
      </c>
      <c r="S202" s="5"/>
      <c r="T202" s="5"/>
      <c r="U202" s="5"/>
    </row>
    <row r="203" spans="2:21" s="39" customFormat="1" thickBot="1" x14ac:dyDescent="0.35">
      <c r="B203" s="39" t="s">
        <v>122</v>
      </c>
      <c r="D203" s="120">
        <f>D191/D198</f>
        <v>0.14935373159894419</v>
      </c>
      <c r="E203" s="120">
        <f t="shared" ref="E203:N203" si="235">E191/E198</f>
        <v>0.1885558438573304</v>
      </c>
      <c r="F203" s="120">
        <f t="shared" si="235"/>
        <v>0.21567719845323152</v>
      </c>
      <c r="G203" s="120">
        <f t="shared" si="235"/>
        <v>0.25542268480441177</v>
      </c>
      <c r="H203" s="120">
        <f t="shared" si="235"/>
        <v>0.2605433396238227</v>
      </c>
      <c r="I203" s="120">
        <f t="shared" si="235"/>
        <v>0.25275379193398401</v>
      </c>
      <c r="J203" s="120">
        <f t="shared" si="235"/>
        <v>0.25680798371447655</v>
      </c>
      <c r="K203" s="120">
        <f t="shared" si="235"/>
        <v>0.24419569356979329</v>
      </c>
      <c r="L203" s="120">
        <f t="shared" si="235"/>
        <v>0.24232242921705446</v>
      </c>
      <c r="M203" s="120">
        <f t="shared" si="235"/>
        <v>0.23730408431651467</v>
      </c>
      <c r="N203" s="120">
        <f t="shared" si="235"/>
        <v>0.23314995646808206</v>
      </c>
    </row>
    <row r="204" spans="2:21" s="39" customFormat="1" thickBot="1" x14ac:dyDescent="0.35">
      <c r="B204" s="39" t="s">
        <v>181</v>
      </c>
      <c r="I204" s="39">
        <f>I203*I210</f>
        <v>0.16900916020358289</v>
      </c>
      <c r="J204" s="39">
        <f t="shared" ref="J204:N204" si="236">J203*J210</f>
        <v>0.17180582662960603</v>
      </c>
      <c r="K204" s="39">
        <f t="shared" si="236"/>
        <v>0.1633580239336416</v>
      </c>
      <c r="L204" s="39">
        <f t="shared" si="236"/>
        <v>0.16208460190915949</v>
      </c>
      <c r="M204" s="39">
        <f t="shared" si="236"/>
        <v>0.1587444468524199</v>
      </c>
      <c r="N204" s="39">
        <f t="shared" si="236"/>
        <v>0.15596123085507185</v>
      </c>
    </row>
    <row r="205" spans="2:21" ht="15" thickBot="1" x14ac:dyDescent="0.35">
      <c r="B205" s="60" t="s">
        <v>123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S205" s="5"/>
      <c r="T205" s="5"/>
      <c r="U205" s="5"/>
    </row>
    <row r="206" spans="2:21" x14ac:dyDescent="0.3">
      <c r="B206" s="12" t="s">
        <v>103</v>
      </c>
      <c r="D206" s="35">
        <v>96</v>
      </c>
      <c r="E206" s="35">
        <v>137</v>
      </c>
      <c r="F206" s="35">
        <v>193</v>
      </c>
      <c r="G206" s="35">
        <v>286</v>
      </c>
      <c r="H206" s="35">
        <v>361</v>
      </c>
      <c r="I206" s="35">
        <v>429</v>
      </c>
      <c r="J206" s="41">
        <f>J211/$C$6</f>
        <v>525.66372528943509</v>
      </c>
      <c r="K206" s="41">
        <f t="shared" ref="K206:N206" si="237">K211/$C$6</f>
        <v>597.44246700800807</v>
      </c>
      <c r="L206" s="41">
        <f t="shared" si="237"/>
        <v>707.62698631401599</v>
      </c>
      <c r="M206" s="41">
        <f t="shared" si="237"/>
        <v>823.47762600755277</v>
      </c>
      <c r="N206" s="41">
        <f t="shared" si="237"/>
        <v>958.52950572166594</v>
      </c>
      <c r="S206" s="5"/>
      <c r="T206" s="5"/>
      <c r="U206" s="5"/>
    </row>
    <row r="207" spans="2:21" x14ac:dyDescent="0.3">
      <c r="B207" s="39" t="s">
        <v>95</v>
      </c>
      <c r="C207" s="39"/>
      <c r="D207" s="39"/>
      <c r="E207" s="39">
        <f>E206/D206-1</f>
        <v>0.42708333333333326</v>
      </c>
      <c r="F207" s="39">
        <f t="shared" ref="F207" si="238">F206/E206-1</f>
        <v>0.40875912408759119</v>
      </c>
      <c r="G207" s="39">
        <f t="shared" ref="G207" si="239">G206/F206-1</f>
        <v>0.4818652849740932</v>
      </c>
      <c r="H207" s="39">
        <f t="shared" ref="H207" si="240">H206/G206-1</f>
        <v>0.2622377622377623</v>
      </c>
      <c r="I207" s="39">
        <f t="shared" ref="I207" si="241">I206/H206-1</f>
        <v>0.18836565096952906</v>
      </c>
      <c r="J207" s="39">
        <f t="shared" ref="J207" si="242">J206/I206-1</f>
        <v>0.22532336897304228</v>
      </c>
      <c r="K207" s="39">
        <f t="shared" ref="K207" si="243">K206/J206-1</f>
        <v>0.13654878254924463</v>
      </c>
      <c r="L207" s="39">
        <f t="shared" ref="L207" si="244">L206/K206-1</f>
        <v>0.1844269957202942</v>
      </c>
      <c r="M207" s="39">
        <f t="shared" ref="M207" si="245">M206/L206-1</f>
        <v>0.1637171022786954</v>
      </c>
      <c r="N207" s="39">
        <f t="shared" ref="N207" si="246">N206/M206-1</f>
        <v>0.16400188110620806</v>
      </c>
      <c r="S207" s="5"/>
      <c r="T207" s="5"/>
      <c r="U207" s="5"/>
    </row>
    <row r="208" spans="2:21" x14ac:dyDescent="0.3">
      <c r="B208" s="39" t="s">
        <v>105</v>
      </c>
      <c r="C208" s="39"/>
      <c r="D208" s="39">
        <f>D206/$C$4</f>
        <v>1.0596026490066225E-2</v>
      </c>
      <c r="E208" s="39">
        <f t="shared" ref="E208" si="247">E206/$C$4</f>
        <v>1.5121412803532009E-2</v>
      </c>
      <c r="F208" s="39">
        <f t="shared" ref="F208" si="248">F206/$C$4</f>
        <v>2.1302428256070639E-2</v>
      </c>
      <c r="G208" s="39">
        <f t="shared" ref="G208" si="249">G206/$C$4</f>
        <v>3.1567328918322299E-2</v>
      </c>
      <c r="H208" s="39">
        <f t="shared" ref="H208" si="250">H206/$C$4</f>
        <v>3.9845474613686531E-2</v>
      </c>
      <c r="I208" s="39">
        <f>I206/$C$4</f>
        <v>4.7350993377483441E-2</v>
      </c>
      <c r="J208" s="39">
        <f t="shared" ref="J208" si="251">J206/$C$4</f>
        <v>5.8020278729518225E-2</v>
      </c>
      <c r="K208" s="39">
        <f t="shared" ref="K208" si="252">K206/$C$4</f>
        <v>6.5942877153201768E-2</v>
      </c>
      <c r="L208" s="39">
        <f t="shared" ref="L208" si="253">L206/$C$4</f>
        <v>7.8104523875719201E-2</v>
      </c>
      <c r="M208" s="39">
        <f t="shared" ref="M208" si="254">M206/$C$4</f>
        <v>9.0891570199509136E-2</v>
      </c>
      <c r="N208" s="39">
        <f t="shared" ref="N208" si="255">N206/$C$4</f>
        <v>0.10579795868892559</v>
      </c>
      <c r="S208" s="5"/>
      <c r="T208" s="5"/>
      <c r="U208" s="5"/>
    </row>
    <row r="209" spans="2:21" x14ac:dyDescent="0.3">
      <c r="B209" s="39" t="s">
        <v>106</v>
      </c>
      <c r="C209" s="39"/>
      <c r="D209" s="39">
        <f t="shared" ref="D209:I209" si="256">D211/D77</f>
        <v>0.33124693769107083</v>
      </c>
      <c r="E209" s="39">
        <f t="shared" si="256"/>
        <v>0.32155548357719915</v>
      </c>
      <c r="F209" s="39">
        <f t="shared" si="256"/>
        <v>0.33056888678786384</v>
      </c>
      <c r="G209" s="39">
        <f t="shared" si="256"/>
        <v>0.33087069897013605</v>
      </c>
      <c r="H209" s="39">
        <f t="shared" si="256"/>
        <v>0.33078539999376916</v>
      </c>
      <c r="I209" s="39">
        <f t="shared" si="256"/>
        <v>0.33132888369197688</v>
      </c>
      <c r="J209" s="42">
        <f>AVERAGE(G209:I209)</f>
        <v>0.33099499421862738</v>
      </c>
      <c r="K209" s="42">
        <f t="shared" ref="K209:N209" si="257">AVERAGE(H209:J209)</f>
        <v>0.33103642596812449</v>
      </c>
      <c r="L209" s="42">
        <f t="shared" si="257"/>
        <v>0.33112010129290953</v>
      </c>
      <c r="M209" s="42">
        <f t="shared" si="257"/>
        <v>0.3310505071598871</v>
      </c>
      <c r="N209" s="42">
        <f t="shared" si="257"/>
        <v>0.33106901147364037</v>
      </c>
      <c r="S209" s="5"/>
      <c r="T209" s="5"/>
      <c r="U209" s="5"/>
    </row>
    <row r="210" spans="2:21" x14ac:dyDescent="0.3">
      <c r="B210" s="39" t="s">
        <v>107</v>
      </c>
      <c r="C210" s="39"/>
      <c r="D210" s="39">
        <f>1-D209</f>
        <v>0.66875306230892917</v>
      </c>
      <c r="E210" s="39">
        <f t="shared" ref="E210" si="258">1-E209</f>
        <v>0.67844451642280079</v>
      </c>
      <c r="F210" s="39">
        <f t="shared" ref="F210" si="259">1-F209</f>
        <v>0.66943111321213622</v>
      </c>
      <c r="G210" s="39">
        <f t="shared" ref="G210" si="260">1-G209</f>
        <v>0.66912930102986401</v>
      </c>
      <c r="H210" s="39">
        <f t="shared" ref="H210" si="261">1-H209</f>
        <v>0.6692146000062309</v>
      </c>
      <c r="I210" s="39">
        <f t="shared" ref="I210" si="262">1-I209</f>
        <v>0.66867111630802312</v>
      </c>
      <c r="J210" s="39">
        <f t="shared" ref="J210" si="263">1-J209</f>
        <v>0.66900500578137256</v>
      </c>
      <c r="K210" s="39">
        <f t="shared" ref="K210" si="264">1-K209</f>
        <v>0.66896357403187556</v>
      </c>
      <c r="L210" s="39">
        <f t="shared" ref="L210" si="265">1-L209</f>
        <v>0.66887989870709053</v>
      </c>
      <c r="M210" s="39">
        <f t="shared" ref="M210" si="266">1-M209</f>
        <v>0.66894949284011296</v>
      </c>
      <c r="N210" s="39">
        <f t="shared" ref="N210" si="267">1-N209</f>
        <v>0.66893098852635968</v>
      </c>
      <c r="S210" s="5"/>
      <c r="T210" s="5"/>
      <c r="U210" s="5"/>
    </row>
    <row r="211" spans="2:21" x14ac:dyDescent="0.3">
      <c r="B211" s="54" t="s">
        <v>108</v>
      </c>
      <c r="C211" s="39"/>
      <c r="D211" s="41">
        <f>D206*$C$6</f>
        <v>48000</v>
      </c>
      <c r="E211" s="41">
        <f t="shared" ref="E211:I211" si="268">E206*$C$6</f>
        <v>68500</v>
      </c>
      <c r="F211" s="41">
        <f t="shared" si="268"/>
        <v>96500</v>
      </c>
      <c r="G211" s="41">
        <f t="shared" si="268"/>
        <v>143000</v>
      </c>
      <c r="H211" s="41">
        <f t="shared" si="268"/>
        <v>180500</v>
      </c>
      <c r="I211" s="41">
        <f t="shared" si="268"/>
        <v>214500</v>
      </c>
      <c r="J211" s="41">
        <f>J209*J77</f>
        <v>262831.86264471756</v>
      </c>
      <c r="K211" s="41">
        <f>K209*K77</f>
        <v>298721.23350400402</v>
      </c>
      <c r="L211" s="41">
        <f>L209*L77</f>
        <v>353813.49315700802</v>
      </c>
      <c r="M211" s="41">
        <f>M209*M77</f>
        <v>411738.81300377636</v>
      </c>
      <c r="N211" s="41">
        <f>N209*N77</f>
        <v>479264.75286083296</v>
      </c>
      <c r="S211" s="5"/>
      <c r="T211" s="5"/>
      <c r="U211" s="5"/>
    </row>
    <row r="212" spans="2:21" x14ac:dyDescent="0.3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S212" s="5"/>
      <c r="T212" s="5"/>
      <c r="U212" s="5"/>
    </row>
    <row r="213" spans="2:21" x14ac:dyDescent="0.3">
      <c r="B213" s="1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S213" s="5"/>
      <c r="T213" s="5"/>
      <c r="U213" s="5"/>
    </row>
    <row r="214" spans="2:21" x14ac:dyDescent="0.3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S214" s="5"/>
      <c r="T214" s="5"/>
      <c r="U214" s="5"/>
    </row>
    <row r="215" spans="2:21" x14ac:dyDescent="0.3">
      <c r="B215" s="5" t="s">
        <v>119</v>
      </c>
      <c r="C215" s="5"/>
      <c r="D215" s="5"/>
      <c r="E215" s="5"/>
      <c r="F215" s="5"/>
      <c r="G215" s="5"/>
      <c r="H215" s="5"/>
      <c r="I215" s="16"/>
      <c r="J215" s="61">
        <f>J198</f>
        <v>3090114.1118730512</v>
      </c>
      <c r="K215" s="61">
        <f>K198</f>
        <v>3693274.6408303417</v>
      </c>
      <c r="L215" s="61">
        <f>L198</f>
        <v>4407496.3763576951</v>
      </c>
      <c r="M215" s="61">
        <f>M198</f>
        <v>5238991.6888084356</v>
      </c>
      <c r="N215" s="61">
        <f>N198</f>
        <v>6206854.8813344268</v>
      </c>
      <c r="S215" s="5"/>
      <c r="T215" s="5"/>
      <c r="U215" s="5"/>
    </row>
    <row r="216" spans="2:21" x14ac:dyDescent="0.3">
      <c r="B216" s="5" t="s">
        <v>124</v>
      </c>
      <c r="C216" s="69">
        <v>46017</v>
      </c>
      <c r="D216" s="5"/>
      <c r="E216" s="5"/>
      <c r="F216" s="5"/>
      <c r="G216" s="5"/>
      <c r="H216" s="5"/>
      <c r="I216" s="5"/>
      <c r="J216" s="121"/>
      <c r="K216" s="121"/>
      <c r="L216" s="121"/>
      <c r="M216" s="121"/>
      <c r="N216" s="121"/>
      <c r="S216" s="5"/>
      <c r="T216" s="5"/>
      <c r="U216" s="5"/>
    </row>
    <row r="217" spans="2:21" x14ac:dyDescent="0.3">
      <c r="B217" s="70" t="s">
        <v>125</v>
      </c>
      <c r="C217" s="70"/>
      <c r="D217" s="70"/>
      <c r="E217" s="70"/>
      <c r="F217" s="70"/>
      <c r="G217" s="70"/>
      <c r="H217" s="70"/>
      <c r="I217" s="71"/>
      <c r="J217" s="71">
        <v>0.01</v>
      </c>
      <c r="K217" s="71">
        <v>1.01</v>
      </c>
      <c r="L217" s="71">
        <v>2.0099999999999998</v>
      </c>
      <c r="M217" s="71">
        <v>3.02</v>
      </c>
      <c r="N217" s="71">
        <v>4.0199999999999996</v>
      </c>
      <c r="S217" s="5"/>
      <c r="T217" s="5"/>
      <c r="U217" s="5"/>
    </row>
    <row r="218" spans="2:21" x14ac:dyDescent="0.3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S218" s="5"/>
      <c r="T218" s="5"/>
      <c r="U218" s="5"/>
    </row>
    <row r="219" spans="2:21" x14ac:dyDescent="0.3">
      <c r="B219" s="5" t="s">
        <v>126</v>
      </c>
      <c r="C219" s="5"/>
      <c r="D219" s="5"/>
      <c r="E219" s="5"/>
      <c r="F219" s="5"/>
      <c r="G219" s="5"/>
      <c r="H219" s="5"/>
      <c r="I219" s="5"/>
      <c r="J219" s="72">
        <v>0.1075</v>
      </c>
      <c r="K219" s="72">
        <v>0.1075</v>
      </c>
      <c r="L219" s="72">
        <v>0.1075</v>
      </c>
      <c r="M219" s="72">
        <v>0.1075</v>
      </c>
      <c r="N219" s="72">
        <v>0.1075</v>
      </c>
      <c r="S219" s="5"/>
      <c r="T219" s="5"/>
      <c r="U219" s="5"/>
    </row>
    <row r="220" spans="2:21" x14ac:dyDescent="0.3">
      <c r="B220" s="5" t="s">
        <v>127</v>
      </c>
      <c r="C220" s="5"/>
      <c r="D220" s="5"/>
      <c r="E220" s="5"/>
      <c r="F220" s="5"/>
      <c r="G220" s="5"/>
      <c r="H220" s="5"/>
      <c r="I220" s="5"/>
      <c r="J220" s="72">
        <f>0.105</f>
        <v>0.105</v>
      </c>
      <c r="K220" s="72">
        <f t="shared" ref="K220:N220" si="269">0.105</f>
        <v>0.105</v>
      </c>
      <c r="L220" s="72">
        <f t="shared" si="269"/>
        <v>0.105</v>
      </c>
      <c r="M220" s="72">
        <f t="shared" si="269"/>
        <v>0.105</v>
      </c>
      <c r="N220" s="72">
        <f t="shared" si="269"/>
        <v>0.105</v>
      </c>
      <c r="S220" s="5"/>
      <c r="T220" s="5"/>
      <c r="U220" s="5"/>
    </row>
    <row r="221" spans="2:21" x14ac:dyDescent="0.3">
      <c r="B221" s="70" t="s">
        <v>128</v>
      </c>
      <c r="C221" s="70"/>
      <c r="D221" s="73">
        <v>0.21249999999999999</v>
      </c>
      <c r="E221" s="73">
        <v>0.21249999999999999</v>
      </c>
      <c r="F221" s="73">
        <v>0.21249999999999999</v>
      </c>
      <c r="G221" s="73">
        <v>0.21249999999999999</v>
      </c>
      <c r="H221" s="73">
        <v>0.21249999999999999</v>
      </c>
      <c r="I221" s="73">
        <v>0.21249999999999999</v>
      </c>
      <c r="J221" s="73">
        <f>J219+J220</f>
        <v>0.21249999999999999</v>
      </c>
      <c r="K221" s="73">
        <f t="shared" ref="K221:N221" si="270">K219+K220</f>
        <v>0.21249999999999999</v>
      </c>
      <c r="L221" s="73">
        <f t="shared" si="270"/>
        <v>0.21249999999999999</v>
      </c>
      <c r="M221" s="73">
        <f t="shared" si="270"/>
        <v>0.21249999999999999</v>
      </c>
      <c r="N221" s="73">
        <f t="shared" si="270"/>
        <v>0.21249999999999999</v>
      </c>
      <c r="S221" s="5"/>
      <c r="T221" s="5"/>
      <c r="U221" s="5"/>
    </row>
    <row r="222" spans="2:21" x14ac:dyDescent="0.3">
      <c r="B222" s="5" t="s">
        <v>129</v>
      </c>
      <c r="C222" s="5"/>
      <c r="D222" s="5"/>
      <c r="E222" s="5"/>
      <c r="F222" s="5"/>
      <c r="G222" s="5"/>
      <c r="H222" s="5"/>
      <c r="I222" s="5"/>
      <c r="J222" s="121">
        <f>1/(1+J221)^J217</f>
        <v>0.99807501173279001</v>
      </c>
      <c r="K222" s="121">
        <f t="shared" ref="K222:N222" si="271">1/(1+K221)^K217</f>
        <v>0.8231546488517858</v>
      </c>
      <c r="L222" s="121">
        <f t="shared" si="271"/>
        <v>0.67889043204270993</v>
      </c>
      <c r="M222" s="121">
        <f t="shared" si="271"/>
        <v>0.55883181519695402</v>
      </c>
      <c r="N222" s="121">
        <f t="shared" si="271"/>
        <v>0.46089221871913738</v>
      </c>
      <c r="S222" s="5"/>
      <c r="T222" s="5"/>
      <c r="U222" s="5"/>
    </row>
    <row r="223" spans="2:21" x14ac:dyDescent="0.3">
      <c r="B223" s="5"/>
      <c r="C223" s="5"/>
      <c r="D223" s="5"/>
      <c r="E223" s="5"/>
      <c r="F223" s="5"/>
      <c r="G223" s="5"/>
      <c r="H223" s="5"/>
      <c r="I223" s="5"/>
      <c r="K223" s="5"/>
      <c r="L223" s="5"/>
      <c r="M223" s="5"/>
      <c r="N223" s="5"/>
      <c r="S223" s="5"/>
      <c r="T223" s="5"/>
      <c r="U223" s="5"/>
    </row>
    <row r="224" spans="2:21" x14ac:dyDescent="0.3">
      <c r="B224" s="16" t="s">
        <v>130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S224" s="5"/>
      <c r="T224" s="5"/>
      <c r="U224" s="5"/>
    </row>
    <row r="225" spans="2:21" x14ac:dyDescent="0.3">
      <c r="B225" s="16" t="s">
        <v>131</v>
      </c>
      <c r="C225" s="74">
        <f>SUM(J225:N225)</f>
        <v>1806370.1551703389</v>
      </c>
      <c r="D225" s="5"/>
      <c r="E225" s="5"/>
      <c r="F225" s="5"/>
      <c r="G225" s="5"/>
      <c r="H225" s="5"/>
      <c r="I225" s="75"/>
      <c r="J225" s="61">
        <f>J211</f>
        <v>262831.86264471756</v>
      </c>
      <c r="K225" s="61">
        <f t="shared" ref="K225:M225" si="272">K211</f>
        <v>298721.23350400402</v>
      </c>
      <c r="L225" s="61">
        <f t="shared" si="272"/>
        <v>353813.49315700802</v>
      </c>
      <c r="M225" s="61">
        <f t="shared" si="272"/>
        <v>411738.81300377636</v>
      </c>
      <c r="N225" s="61">
        <f>N211</f>
        <v>479264.75286083296</v>
      </c>
      <c r="S225" s="5"/>
      <c r="T225" s="5"/>
      <c r="U225" s="5"/>
    </row>
    <row r="226" spans="2:21" x14ac:dyDescent="0.3">
      <c r="B226" s="76" t="s">
        <v>132</v>
      </c>
      <c r="C226" s="77">
        <f>SUM(J226:N226)</f>
        <v>1199402.4252521878</v>
      </c>
      <c r="D226" s="5"/>
      <c r="E226" s="5"/>
      <c r="F226" s="5"/>
      <c r="G226" s="5"/>
      <c r="H226" s="5"/>
      <c r="I226" s="78"/>
      <c r="J226" s="79">
        <f>J225*J222</f>
        <v>262325.91439287754</v>
      </c>
      <c r="K226" s="79">
        <f t="shared" ref="K226:N226" si="273">K225*K222</f>
        <v>245893.77206956074</v>
      </c>
      <c r="L226" s="79">
        <f t="shared" si="273"/>
        <v>240200.59523190156</v>
      </c>
      <c r="M226" s="79">
        <f t="shared" si="273"/>
        <v>230092.74825793956</v>
      </c>
      <c r="N226" s="79">
        <f t="shared" si="273"/>
        <v>220889.39529990836</v>
      </c>
      <c r="S226" s="5"/>
      <c r="T226" s="5"/>
      <c r="U226" s="5"/>
    </row>
    <row r="227" spans="2:21" x14ac:dyDescent="0.3">
      <c r="B227" s="5" t="s">
        <v>133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S227" s="5"/>
      <c r="T227" s="5"/>
      <c r="U227" s="5"/>
    </row>
    <row r="228" spans="2:21" x14ac:dyDescent="0.3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S228" s="5"/>
      <c r="T228" s="5"/>
      <c r="U228" s="5"/>
    </row>
    <row r="229" spans="2:21" x14ac:dyDescent="0.3">
      <c r="B229" s="16" t="s">
        <v>134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S229" s="5"/>
      <c r="T229" s="5"/>
      <c r="U229" s="5"/>
    </row>
    <row r="230" spans="2:21" x14ac:dyDescent="0.3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S230" s="5"/>
      <c r="T230" s="5"/>
      <c r="U230" s="5"/>
    </row>
    <row r="231" spans="2:21" x14ac:dyDescent="0.3">
      <c r="B231" s="5" t="s">
        <v>135</v>
      </c>
      <c r="C231" s="80">
        <f>AVERAGE(J231:N231)</f>
        <v>0.66894579197736237</v>
      </c>
      <c r="D231" s="5"/>
      <c r="E231" s="5"/>
      <c r="F231" s="5"/>
      <c r="G231" s="5"/>
      <c r="H231" s="5"/>
      <c r="I231" s="5"/>
      <c r="J231" s="72">
        <f>J210</f>
        <v>0.66900500578137256</v>
      </c>
      <c r="K231" s="72">
        <f t="shared" ref="K231:N231" si="274">K210</f>
        <v>0.66896357403187556</v>
      </c>
      <c r="L231" s="72">
        <f t="shared" si="274"/>
        <v>0.66887989870709053</v>
      </c>
      <c r="M231" s="72">
        <f t="shared" si="274"/>
        <v>0.66894949284011296</v>
      </c>
      <c r="N231" s="72">
        <f t="shared" si="274"/>
        <v>0.66893098852635968</v>
      </c>
      <c r="S231" s="5"/>
      <c r="T231" s="5"/>
      <c r="U231" s="5"/>
    </row>
    <row r="232" spans="2:21" x14ac:dyDescent="0.3">
      <c r="B232" s="81" t="s">
        <v>136</v>
      </c>
      <c r="C232" s="80">
        <f>1-C231</f>
        <v>0.33105420802263763</v>
      </c>
      <c r="D232" s="5"/>
      <c r="E232" s="5"/>
      <c r="F232" s="5"/>
      <c r="G232" s="5"/>
      <c r="H232" s="5"/>
      <c r="I232" s="5"/>
      <c r="J232" s="72">
        <f>1-J231</f>
        <v>0.33099499421862744</v>
      </c>
      <c r="K232" s="72">
        <f t="shared" ref="K232:N232" si="275">1-K231</f>
        <v>0.33103642596812444</v>
      </c>
      <c r="L232" s="72">
        <f t="shared" si="275"/>
        <v>0.33112010129290947</v>
      </c>
      <c r="M232" s="72">
        <f t="shared" si="275"/>
        <v>0.33105050715988704</v>
      </c>
      <c r="N232" s="72">
        <f t="shared" si="275"/>
        <v>0.33106901147364032</v>
      </c>
      <c r="S232" s="5"/>
      <c r="T232" s="5"/>
      <c r="U232" s="5"/>
    </row>
    <row r="233" spans="2:21" x14ac:dyDescent="0.3">
      <c r="B233" s="5" t="s">
        <v>137</v>
      </c>
      <c r="C233" s="82">
        <f>AVERAGE(J233:N233)</f>
        <v>0.24275602945718422</v>
      </c>
      <c r="D233" s="5"/>
      <c r="E233" s="5"/>
      <c r="F233" s="5"/>
      <c r="G233" s="5"/>
      <c r="H233" s="5"/>
      <c r="I233" s="5"/>
      <c r="J233" s="72">
        <f>J203</f>
        <v>0.25680798371447655</v>
      </c>
      <c r="K233" s="72">
        <f>K203</f>
        <v>0.24419569356979329</v>
      </c>
      <c r="L233" s="72">
        <f>L203</f>
        <v>0.24232242921705446</v>
      </c>
      <c r="M233" s="72">
        <f>M203</f>
        <v>0.23730408431651467</v>
      </c>
      <c r="N233" s="72">
        <f>N203</f>
        <v>0.23314995646808206</v>
      </c>
      <c r="S233" s="5"/>
      <c r="T233" s="5"/>
      <c r="U233" s="5"/>
    </row>
    <row r="234" spans="2:21" x14ac:dyDescent="0.3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S234" s="5"/>
      <c r="T234" s="5"/>
      <c r="U234" s="5"/>
    </row>
    <row r="235" spans="2:21" x14ac:dyDescent="0.3">
      <c r="B235" s="83" t="s">
        <v>170</v>
      </c>
      <c r="C235" s="84">
        <v>0.05</v>
      </c>
      <c r="D235" s="139"/>
      <c r="E235" s="5"/>
      <c r="F235" s="5"/>
      <c r="G235" s="5"/>
      <c r="H235" s="5"/>
      <c r="I235" s="83"/>
      <c r="J235" s="122">
        <f>J231*J233</f>
        <v>0.17180582662960603</v>
      </c>
      <c r="K235" s="122">
        <f t="shared" ref="K235:N235" si="276">K231*K233</f>
        <v>0.1633580239336416</v>
      </c>
      <c r="L235" s="122">
        <f t="shared" si="276"/>
        <v>0.16208460190915949</v>
      </c>
      <c r="M235" s="122">
        <f t="shared" si="276"/>
        <v>0.1587444468524199</v>
      </c>
      <c r="N235" s="122">
        <f t="shared" si="276"/>
        <v>0.15596123085507185</v>
      </c>
      <c r="S235" s="5"/>
      <c r="T235" s="5"/>
      <c r="U235" s="5"/>
    </row>
    <row r="236" spans="2:21" x14ac:dyDescent="0.3">
      <c r="B236" s="5" t="s">
        <v>95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S236" s="5"/>
      <c r="T236" s="65"/>
      <c r="U236" s="5"/>
    </row>
    <row r="237" spans="2:21" x14ac:dyDescent="0.3">
      <c r="B237" s="83" t="s">
        <v>138</v>
      </c>
      <c r="C237" s="85">
        <f>(N192*(1+C235)/(N221-C235))*C6</f>
        <v>9350672.8778840955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S237" s="5"/>
      <c r="T237" s="5"/>
      <c r="U237" s="5"/>
    </row>
    <row r="238" spans="2:21" x14ac:dyDescent="0.3">
      <c r="B238" s="5" t="s">
        <v>139</v>
      </c>
      <c r="C238" s="86">
        <f>C237*N222</f>
        <v>4309652.369204862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S238" s="5"/>
      <c r="T238" s="5"/>
      <c r="U238" s="5"/>
    </row>
    <row r="239" spans="2:21" x14ac:dyDescent="0.3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S239" s="5"/>
      <c r="T239" s="5"/>
      <c r="U239" s="5"/>
    </row>
    <row r="240" spans="2:21" x14ac:dyDescent="0.3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S240" s="5"/>
      <c r="T240" s="5"/>
      <c r="U240" s="5"/>
    </row>
    <row r="241" spans="2:21" x14ac:dyDescent="0.3">
      <c r="B241" s="75"/>
      <c r="C241" s="6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S241" s="5"/>
      <c r="T241" s="5"/>
      <c r="U241" s="5"/>
    </row>
    <row r="242" spans="2:21" x14ac:dyDescent="0.3">
      <c r="B242" s="64"/>
      <c r="C242" s="6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S242" s="5"/>
      <c r="T242" s="5"/>
      <c r="U242" s="5"/>
    </row>
    <row r="243" spans="2:21" ht="16.2" thickBot="1" x14ac:dyDescent="0.35">
      <c r="B243" s="143" t="s">
        <v>140</v>
      </c>
      <c r="C243" s="14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S243" s="5"/>
      <c r="T243" s="5"/>
      <c r="U243" s="5"/>
    </row>
    <row r="244" spans="2:21" x14ac:dyDescent="0.3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S244" s="5"/>
      <c r="T244" s="5"/>
      <c r="U244" s="5"/>
    </row>
    <row r="245" spans="2:21" x14ac:dyDescent="0.3">
      <c r="B245" s="87" t="s">
        <v>141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S245" s="5"/>
      <c r="T245" s="5"/>
      <c r="U245" s="5"/>
    </row>
    <row r="246" spans="2:21" x14ac:dyDescent="0.3">
      <c r="B246" s="88" t="s">
        <v>142</v>
      </c>
      <c r="C246" s="66">
        <f>C226</f>
        <v>1199402.4252521878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S246" s="5"/>
      <c r="T246" s="5"/>
      <c r="U246" s="5"/>
    </row>
    <row r="247" spans="2:21" x14ac:dyDescent="0.3">
      <c r="B247" s="88" t="s">
        <v>143</v>
      </c>
      <c r="C247" s="68">
        <f>C238</f>
        <v>4309652.369204862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S247" s="5"/>
      <c r="T247" s="5"/>
      <c r="U247" s="5"/>
    </row>
    <row r="248" spans="2:21" x14ac:dyDescent="0.3">
      <c r="B248" s="89" t="s">
        <v>144</v>
      </c>
      <c r="C248" s="90">
        <f>C247+C246</f>
        <v>5509054.79445705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S248" s="5"/>
      <c r="T248" s="5"/>
      <c r="U248" s="5"/>
    </row>
    <row r="249" spans="2:21" x14ac:dyDescent="0.3">
      <c r="B249" s="91" t="s">
        <v>145</v>
      </c>
      <c r="C249" s="92">
        <f>C6</f>
        <v>500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S249" s="5"/>
      <c r="T249" s="5"/>
      <c r="U249" s="5"/>
    </row>
    <row r="250" spans="2:21" x14ac:dyDescent="0.3">
      <c r="B250" s="93" t="s">
        <v>146</v>
      </c>
      <c r="C250" s="123">
        <f>C248/C249</f>
        <v>11018.1095889141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S250" s="5"/>
      <c r="T250" s="5"/>
      <c r="U250" s="5"/>
    </row>
    <row r="251" spans="2:21" x14ac:dyDescent="0.3">
      <c r="B251" s="94" t="s">
        <v>147</v>
      </c>
      <c r="C251" s="95">
        <f>C250/C4-1</f>
        <v>0.2161268861936092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2:21" ht="15" thickBot="1" x14ac:dyDescent="0.35">
      <c r="B252" s="96" t="s">
        <v>148</v>
      </c>
      <c r="C252" s="125" t="s">
        <v>149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2:21" ht="15" thickTop="1" x14ac:dyDescent="0.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2:21" x14ac:dyDescent="0.3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2:21" ht="17.399999999999999" thickBot="1" x14ac:dyDescent="0.4">
      <c r="B255" s="144" t="s">
        <v>150</v>
      </c>
      <c r="C255" s="1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2:21" x14ac:dyDescent="0.3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2:21" x14ac:dyDescent="0.3">
      <c r="B257" s="97" t="s">
        <v>151</v>
      </c>
      <c r="C257" s="9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2:21" x14ac:dyDescent="0.3">
      <c r="B258" s="98" t="s">
        <v>152</v>
      </c>
      <c r="C258" s="124">
        <f>N197</f>
        <v>5.74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2:21" x14ac:dyDescent="0.3">
      <c r="B259" s="99" t="s">
        <v>153</v>
      </c>
      <c r="C259" s="124">
        <f>N192</f>
        <v>2894.2558907736484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2:21" x14ac:dyDescent="0.3">
      <c r="B260" s="99" t="s">
        <v>154</v>
      </c>
      <c r="C260" s="67">
        <f>C258*C259</f>
        <v>16613.028813040743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2:21" x14ac:dyDescent="0.3">
      <c r="B261" s="100" t="s">
        <v>155</v>
      </c>
      <c r="C261" s="66">
        <f>C260*C6</f>
        <v>8306514.4065203713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2:21" x14ac:dyDescent="0.3">
      <c r="B262" s="9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2:21" x14ac:dyDescent="0.3">
      <c r="B263" s="101" t="s">
        <v>138</v>
      </c>
      <c r="C263" s="61">
        <f>C261</f>
        <v>8306514.4065203713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2:21" x14ac:dyDescent="0.3">
      <c r="B264" s="102" t="s">
        <v>156</v>
      </c>
      <c r="C264" s="103">
        <f>C263*N222</f>
        <v>3828407.8546436527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2:21" x14ac:dyDescent="0.3">
      <c r="B265" s="16"/>
      <c r="C265" s="10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2:21" x14ac:dyDescent="0.3">
      <c r="B266" s="16" t="s">
        <v>157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2:21" x14ac:dyDescent="0.3">
      <c r="B267" s="105" t="s">
        <v>142</v>
      </c>
      <c r="C267" s="106">
        <f>C246</f>
        <v>1199402.4252521878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2:21" x14ac:dyDescent="0.3">
      <c r="B268" s="107" t="s">
        <v>143</v>
      </c>
      <c r="C268" s="106">
        <f>C264</f>
        <v>3828407.8546436527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2:21" ht="15" thickBot="1" x14ac:dyDescent="0.35">
      <c r="B269" s="108" t="s">
        <v>158</v>
      </c>
      <c r="C269" s="109">
        <f>C267+C268</f>
        <v>5027810.2798958402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2:21" x14ac:dyDescent="0.3">
      <c r="B270" s="10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2:21" x14ac:dyDescent="0.3">
      <c r="B271" s="107" t="s">
        <v>145</v>
      </c>
      <c r="C271" s="110">
        <f>C249</f>
        <v>500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2:21" x14ac:dyDescent="0.3">
      <c r="B272" s="111" t="s">
        <v>146</v>
      </c>
      <c r="C272" s="123">
        <f>C269/C271</f>
        <v>10055.62055979168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2:21" x14ac:dyDescent="0.3">
      <c r="B273" s="112" t="s">
        <v>147</v>
      </c>
      <c r="C273" s="95">
        <f>C272/C4-1</f>
        <v>0.10989189401674171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2:21" ht="15" thickBot="1" x14ac:dyDescent="0.35">
      <c r="B274" s="113" t="s">
        <v>148</v>
      </c>
      <c r="C274" s="125" t="s">
        <v>149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2:21" ht="15" thickTop="1" x14ac:dyDescent="0.3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2:21" x14ac:dyDescent="0.3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2:21" ht="16.2" thickBot="1" x14ac:dyDescent="0.35">
      <c r="B277" s="145" t="s">
        <v>159</v>
      </c>
      <c r="C277" s="14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2:21" ht="15.6" x14ac:dyDescent="0.3">
      <c r="B278" s="114"/>
      <c r="C278" s="11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2:21" x14ac:dyDescent="0.3">
      <c r="B279" s="97" t="s">
        <v>160</v>
      </c>
      <c r="C279" s="9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2:21" x14ac:dyDescent="0.3">
      <c r="B280" s="98" t="s">
        <v>161</v>
      </c>
      <c r="C280" s="124">
        <f>N202</f>
        <v>1.57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2:21" x14ac:dyDescent="0.3">
      <c r="B281" s="99" t="s">
        <v>162</v>
      </c>
      <c r="C281" s="124">
        <f>N200</f>
        <v>12413.709762668854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2:21" x14ac:dyDescent="0.3">
      <c r="B282" s="99" t="s">
        <v>154</v>
      </c>
      <c r="C282" s="67">
        <f>C281*C280</f>
        <v>19489.5243273901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2:21" x14ac:dyDescent="0.3">
      <c r="B283" s="100" t="s">
        <v>155</v>
      </c>
      <c r="C283" s="66">
        <f>C282*C6</f>
        <v>9744762.1636950504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2:21" x14ac:dyDescent="0.3">
      <c r="B284" s="9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2:21" x14ac:dyDescent="0.3">
      <c r="B285" s="101" t="s">
        <v>138</v>
      </c>
      <c r="C285" s="61">
        <f>C283</f>
        <v>9744762.1636950504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2:21" x14ac:dyDescent="0.3">
      <c r="B286" s="102" t="s">
        <v>156</v>
      </c>
      <c r="C286" s="103">
        <f>C285*N222</f>
        <v>4491285.0545157138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2:21" x14ac:dyDescent="0.3">
      <c r="B287" s="9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2:21" x14ac:dyDescent="0.3">
      <c r="B288" s="9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2:21" x14ac:dyDescent="0.3">
      <c r="B289" s="16" t="s">
        <v>157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2:21" x14ac:dyDescent="0.3">
      <c r="B290" s="105" t="s">
        <v>142</v>
      </c>
      <c r="C290" s="106">
        <f>C267</f>
        <v>1199402.4252521878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2:21" x14ac:dyDescent="0.3">
      <c r="B291" s="107" t="s">
        <v>143</v>
      </c>
      <c r="C291" s="106">
        <f>C286</f>
        <v>4491285.0545157138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2:21" ht="15" thickBot="1" x14ac:dyDescent="0.35">
      <c r="B292" s="108" t="s">
        <v>158</v>
      </c>
      <c r="C292" s="109">
        <f>C290+C291</f>
        <v>5690687.4797679018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2:21" x14ac:dyDescent="0.3">
      <c r="B293" s="10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2:21" x14ac:dyDescent="0.3">
      <c r="B294" s="107" t="s">
        <v>145</v>
      </c>
      <c r="C294" s="110">
        <f>C6</f>
        <v>500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2:21" x14ac:dyDescent="0.3">
      <c r="B295" s="115" t="s">
        <v>146</v>
      </c>
      <c r="C295" s="127">
        <f>C292/C294</f>
        <v>11381.374959535804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2:21" x14ac:dyDescent="0.3">
      <c r="B296" s="112" t="s">
        <v>147</v>
      </c>
      <c r="C296" s="95">
        <f>C295/C4-1</f>
        <v>0.25622240171476873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2:21" ht="15" thickBot="1" x14ac:dyDescent="0.35">
      <c r="B297" s="113" t="s">
        <v>148</v>
      </c>
      <c r="C297" s="125" t="s">
        <v>149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2:21" ht="15" thickTop="1" x14ac:dyDescent="0.3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2:21" x14ac:dyDescent="0.3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2:21" x14ac:dyDescent="0.3">
      <c r="B300" s="116" t="s">
        <v>163</v>
      </c>
      <c r="C300" s="126">
        <f>(0.2*C250)+(0.3*C272)+(0.5*C295)</f>
        <v>10910.995565488225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2:21" x14ac:dyDescent="0.3">
      <c r="B301" s="89" t="s">
        <v>164</v>
      </c>
      <c r="C301" s="95">
        <f>C300/C4-1</f>
        <v>0.20430414630112859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2:21" ht="15" thickBot="1" x14ac:dyDescent="0.35">
      <c r="B302" s="96" t="s">
        <v>148</v>
      </c>
      <c r="C302" s="125" t="s">
        <v>149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2:21" ht="15" thickTop="1" x14ac:dyDescent="0.3"/>
  </sheetData>
  <mergeCells count="4">
    <mergeCell ref="A2:B2"/>
    <mergeCell ref="B243:C243"/>
    <mergeCell ref="B255:C255"/>
    <mergeCell ref="B277:C277"/>
  </mergeCells>
  <conditionalFormatting sqref="R11:R1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16" orientation="landscape" r:id="rId1"/>
  <colBreaks count="1" manualBreakCount="1">
    <brk id="30" max="272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NMB Financials</vt:lpstr>
      <vt:lpstr>NMB Model</vt:lpstr>
      <vt:lpstr>'NMB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debrametto@gmail.com</dc:creator>
  <cp:lastModifiedBy>Brian Githinji</cp:lastModifiedBy>
  <cp:lastPrinted>2026-01-14T13:31:10Z</cp:lastPrinted>
  <dcterms:created xsi:type="dcterms:W3CDTF">2025-12-20T08:36:37Z</dcterms:created>
  <dcterms:modified xsi:type="dcterms:W3CDTF">2026-02-02T19:08:06Z</dcterms:modified>
</cp:coreProperties>
</file>